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aishnavi G\OneDrive\Documents\data analytics\"/>
    </mc:Choice>
  </mc:AlternateContent>
  <xr:revisionPtr revIDLastSave="0" documentId="8_{264FCD1A-C139-4B0A-A30A-AFAD2A736122}" xr6:coauthVersionLast="47" xr6:coauthVersionMax="47" xr10:uidLastSave="{00000000-0000-0000-0000-000000000000}"/>
  <bookViews>
    <workbookView xWindow="-108" yWindow="-108" windowWidth="23256" windowHeight="12456" activeTab="2" xr2:uid="{00000000-000D-0000-FFFF-FFFF00000000}"/>
  </bookViews>
  <sheets>
    <sheet name="Detail1" sheetId="4" r:id="rId1"/>
    <sheet name="Sheet1" sheetId="2" r:id="rId2"/>
    <sheet name="Sheet2" sheetId="3" r:id="rId3"/>
    <sheet name="EmployeeData" sheetId="1" r:id="rId4"/>
  </sheets>
  <definedNames>
    <definedName name="Slicer_City">#N/A</definedName>
    <definedName name="Slicer_Department">#N/A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2" l="1"/>
  <c r="B9" i="2"/>
  <c r="F13" i="2"/>
</calcChain>
</file>

<file path=xl/sharedStrings.xml><?xml version="1.0" encoding="utf-8"?>
<sst xmlns="http://schemas.openxmlformats.org/spreadsheetml/2006/main" count="110" uniqueCount="40">
  <si>
    <t>Emp ID</t>
  </si>
  <si>
    <t>Name</t>
  </si>
  <si>
    <t>Department</t>
  </si>
  <si>
    <t>City</t>
  </si>
  <si>
    <t>Month</t>
  </si>
  <si>
    <t>Salary</t>
  </si>
  <si>
    <t>Performance</t>
  </si>
  <si>
    <t>Arun</t>
  </si>
  <si>
    <t>Sales</t>
  </si>
  <si>
    <t>Chennai</t>
  </si>
  <si>
    <t>Jan</t>
  </si>
  <si>
    <t>Priya</t>
  </si>
  <si>
    <t>HR</t>
  </si>
  <si>
    <t>Vellore</t>
  </si>
  <si>
    <t>Karthik</t>
  </si>
  <si>
    <t>IT</t>
  </si>
  <si>
    <t>Divya</t>
  </si>
  <si>
    <t>Coimbatore</t>
  </si>
  <si>
    <t>Feb</t>
  </si>
  <si>
    <t>Rahul</t>
  </si>
  <si>
    <t>Meena</t>
  </si>
  <si>
    <t>Sanjay</t>
  </si>
  <si>
    <t>Madurai</t>
  </si>
  <si>
    <t>Mar</t>
  </si>
  <si>
    <t>Anitha</t>
  </si>
  <si>
    <t>Vijay</t>
  </si>
  <si>
    <t>Keerthi</t>
  </si>
  <si>
    <t>Apr</t>
  </si>
  <si>
    <t>Ajay</t>
  </si>
  <si>
    <t>Nisha</t>
  </si>
  <si>
    <t>Mohan</t>
  </si>
  <si>
    <t>May</t>
  </si>
  <si>
    <t>Sneha</t>
  </si>
  <si>
    <t>Ravi</t>
  </si>
  <si>
    <t>Row Labels</t>
  </si>
  <si>
    <t>Grand Total</t>
  </si>
  <si>
    <t>Count of Name</t>
  </si>
  <si>
    <t>Average of Salary</t>
  </si>
  <si>
    <t>Average of Performance</t>
  </si>
  <si>
    <t>Details for Count of Name - City: Madurai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</si>
</sst>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0" borderId="0" xfId="0" applyFont="1"/>
    <xf numFmtId="166" fontId="0" fillId="0" borderId="0" xfId="0" applyNumberFormat="1"/>
    <xf numFmtId="2" fontId="0" fillId="0" borderId="0" xfId="0" applyNumberFormat="1"/>
  </cellXfs>
  <cellStyles count="1">
    <cellStyle name="Normal" xfId="0" builtinId="0"/>
  </cellStyles>
  <dxfs count="0"/>
  <tableStyles count="1" defaultTableStyle="TableStyleMedium9" defaultPivotStyle="PivotStyleLight16">
    <tableStyle name="Slicer Style 1" pivot="0" table="0" count="0" xr9:uid="{FDEE1BEA-FFCF-4067-B0F9-01FE725D41C9}"/>
  </tableStyles>
  <colors>
    <mruColors>
      <color rgb="FFEA68E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[Employee_Dashboard_.xlsx]Sheet1!deptempl</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60000">
                <a:schemeClr val="accent4">
                  <a:lumMod val="60000"/>
                  <a:lumOff val="40000"/>
                </a:schemeClr>
              </a:gs>
              <a:gs pos="83000">
                <a:schemeClr val="accent1">
                  <a:lumMod val="45000"/>
                  <a:lumOff val="55000"/>
                </a:schemeClr>
              </a:gs>
              <a:gs pos="100000">
                <a:schemeClr val="accent1">
                  <a:lumMod val="30000"/>
                  <a:lumOff val="70000"/>
                </a:schemeClr>
              </a:gs>
            </a:gsLst>
            <a:lin ang="5400000" scaled="1"/>
          </a:gradFill>
          <a:ln>
            <a:solidFill>
              <a:schemeClr val="accent4"/>
            </a:solidFill>
          </a:ln>
          <a:effectLst>
            <a:outerShdw blurRad="114300" dist="50800" dir="6000000" sx="99000" sy="99000" algn="ctr" rotWithShape="0">
              <a:schemeClr val="accent4">
                <a:lumMod val="75000"/>
              </a:schemeClr>
            </a:outerShd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29861516107625E-2"/>
          <c:y val="9.3195089314279447E-5"/>
          <c:w val="0.91538461538461535"/>
          <c:h val="0.76365919705251095"/>
        </c:manualLayout>
      </c:layout>
      <c:barChart>
        <c:barDir val="col"/>
        <c:grouping val="clustered"/>
        <c:varyColors val="0"/>
        <c:ser>
          <c:idx val="0"/>
          <c:order val="0"/>
          <c:tx>
            <c:strRef>
              <c:f>Sheet1!$B$3</c:f>
              <c:strCache>
                <c:ptCount val="1"/>
                <c:pt idx="0">
                  <c:v>Total</c:v>
                </c:pt>
              </c:strCache>
            </c:strRef>
          </c:tx>
          <c:spPr>
            <a:gradFill>
              <a:gsLst>
                <a:gs pos="0">
                  <a:schemeClr val="accent1">
                    <a:lumMod val="5000"/>
                    <a:lumOff val="95000"/>
                  </a:schemeClr>
                </a:gs>
                <a:gs pos="60000">
                  <a:schemeClr val="accent4">
                    <a:lumMod val="60000"/>
                    <a:lumOff val="40000"/>
                  </a:schemeClr>
                </a:gs>
                <a:gs pos="83000">
                  <a:schemeClr val="accent1">
                    <a:lumMod val="45000"/>
                    <a:lumOff val="55000"/>
                  </a:schemeClr>
                </a:gs>
                <a:gs pos="100000">
                  <a:schemeClr val="accent1">
                    <a:lumMod val="30000"/>
                    <a:lumOff val="70000"/>
                  </a:schemeClr>
                </a:gs>
              </a:gsLst>
              <a:lin ang="5400000" scaled="1"/>
            </a:gradFill>
            <a:ln>
              <a:solidFill>
                <a:schemeClr val="accent4"/>
              </a:solidFill>
            </a:ln>
            <a:effectLst>
              <a:outerShdw blurRad="114300" dist="50800" dir="6000000" sx="99000" sy="99000" algn="ctr" rotWithShape="0">
                <a:schemeClr val="accent4">
                  <a:lumMod val="75000"/>
                </a:schemeClr>
              </a:outerShdw>
            </a:effectLst>
          </c:spPr>
          <c:invertIfNegative val="0"/>
          <c:cat>
            <c:strRef>
              <c:f>Sheet1!$A$4:$A$7</c:f>
              <c:strCache>
                <c:ptCount val="3"/>
                <c:pt idx="0">
                  <c:v>HR</c:v>
                </c:pt>
                <c:pt idx="1">
                  <c:v>IT</c:v>
                </c:pt>
                <c:pt idx="2">
                  <c:v>Sales</c:v>
                </c:pt>
              </c:strCache>
            </c:strRef>
          </c:cat>
          <c:val>
            <c:numRef>
              <c:f>Sheet1!$B$4:$B$7</c:f>
              <c:numCache>
                <c:formatCode>General</c:formatCode>
                <c:ptCount val="3"/>
                <c:pt idx="0">
                  <c:v>1</c:v>
                </c:pt>
                <c:pt idx="1">
                  <c:v>1</c:v>
                </c:pt>
                <c:pt idx="2">
                  <c:v>3</c:v>
                </c:pt>
              </c:numCache>
            </c:numRef>
          </c:val>
          <c:extLst>
            <c:ext xmlns:c16="http://schemas.microsoft.com/office/drawing/2014/chart" uri="{C3380CC4-5D6E-409C-BE32-E72D297353CC}">
              <c16:uniqueId val="{00000000-94A5-40F2-A4D9-712D99EA002E}"/>
            </c:ext>
          </c:extLst>
        </c:ser>
        <c:dLbls>
          <c:showLegendKey val="0"/>
          <c:showVal val="0"/>
          <c:showCatName val="0"/>
          <c:showSerName val="0"/>
          <c:showPercent val="0"/>
          <c:showBubbleSize val="0"/>
        </c:dLbls>
        <c:gapWidth val="219"/>
        <c:overlap val="-17"/>
        <c:axId val="667937119"/>
        <c:axId val="590472143"/>
      </c:barChart>
      <c:catAx>
        <c:axId val="66793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j-lt"/>
                <a:ea typeface="+mn-ea"/>
                <a:cs typeface="+mn-cs"/>
              </a:defRPr>
            </a:pPr>
            <a:endParaRPr lang="en-US"/>
          </a:p>
        </c:txPr>
        <c:crossAx val="590472143"/>
        <c:crosses val="autoZero"/>
        <c:auto val="1"/>
        <c:lblAlgn val="ctr"/>
        <c:lblOffset val="100"/>
        <c:noMultiLvlLbl val="0"/>
      </c:catAx>
      <c:valAx>
        <c:axId val="590472143"/>
        <c:scaling>
          <c:orientation val="minMax"/>
        </c:scaling>
        <c:delete val="1"/>
        <c:axPos val="l"/>
        <c:numFmt formatCode="General" sourceLinked="1"/>
        <c:majorTickMark val="out"/>
        <c:minorTickMark val="none"/>
        <c:tickLblPos val="nextTo"/>
        <c:crossAx val="66793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[Employee_Dashboard_.xlsx]Sheet1!salary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0540129852188"/>
          <c:y val="0.14671588002484823"/>
          <c:w val="0.82528056361375879"/>
          <c:h val="0.85328411997515174"/>
        </c:manualLayout>
      </c:layout>
      <c:barChart>
        <c:barDir val="bar"/>
        <c:grouping val="clustered"/>
        <c:varyColors val="0"/>
        <c:ser>
          <c:idx val="0"/>
          <c:order val="0"/>
          <c:tx>
            <c:strRef>
              <c:f>Sheet1!$F$5</c:f>
              <c:strCache>
                <c:ptCount val="1"/>
                <c:pt idx="0">
                  <c:v>Total</c:v>
                </c:pt>
              </c:strCache>
            </c:strRef>
          </c:tx>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a:ln>
              <a:noFill/>
            </a:ln>
            <a:effectLst/>
          </c:spPr>
          <c:invertIfNegative val="0"/>
          <c:cat>
            <c:strRef>
              <c:f>Sheet1!$E$6:$E$9</c:f>
              <c:strCache>
                <c:ptCount val="3"/>
                <c:pt idx="0">
                  <c:v>HR</c:v>
                </c:pt>
                <c:pt idx="1">
                  <c:v>IT</c:v>
                </c:pt>
                <c:pt idx="2">
                  <c:v>Sales</c:v>
                </c:pt>
              </c:strCache>
            </c:strRef>
          </c:cat>
          <c:val>
            <c:numRef>
              <c:f>Sheet1!$F$6:$F$9</c:f>
              <c:numCache>
                <c:formatCode>General</c:formatCode>
                <c:ptCount val="3"/>
                <c:pt idx="0">
                  <c:v>31000</c:v>
                </c:pt>
                <c:pt idx="1">
                  <c:v>45000</c:v>
                </c:pt>
                <c:pt idx="2">
                  <c:v>37000</c:v>
                </c:pt>
              </c:numCache>
            </c:numRef>
          </c:val>
          <c:extLst>
            <c:ext xmlns:c16="http://schemas.microsoft.com/office/drawing/2014/chart" uri="{C3380CC4-5D6E-409C-BE32-E72D297353CC}">
              <c16:uniqueId val="{00000000-BE35-4EFE-B2F0-AC189A1DD707}"/>
            </c:ext>
          </c:extLst>
        </c:ser>
        <c:dLbls>
          <c:showLegendKey val="0"/>
          <c:showVal val="0"/>
          <c:showCatName val="0"/>
          <c:showSerName val="0"/>
          <c:showPercent val="0"/>
          <c:showBubbleSize val="0"/>
        </c:dLbls>
        <c:gapWidth val="182"/>
        <c:axId val="806331471"/>
        <c:axId val="730586671"/>
      </c:barChart>
      <c:catAx>
        <c:axId val="80633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crossAx val="730586671"/>
        <c:crosses val="autoZero"/>
        <c:auto val="1"/>
        <c:lblAlgn val="ctr"/>
        <c:lblOffset val="100"/>
        <c:noMultiLvlLbl val="0"/>
      </c:catAx>
      <c:valAx>
        <c:axId val="730586671"/>
        <c:scaling>
          <c:orientation val="minMax"/>
        </c:scaling>
        <c:delete val="1"/>
        <c:axPos val="b"/>
        <c:numFmt formatCode="General" sourceLinked="1"/>
        <c:majorTickMark val="none"/>
        <c:minorTickMark val="none"/>
        <c:tickLblPos val="nextTo"/>
        <c:crossAx val="80633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[Employee_Dashboard_.xlsx]Sheet1!month</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pct80">
            <a:fgClr>
              <a:schemeClr val="accent4"/>
            </a:fgClr>
            <a:bgClr>
              <a:schemeClr val="bg1"/>
            </a:bgClr>
          </a:pattFill>
          <a:ln w="19050">
            <a:solidFill>
              <a:schemeClr val="lt1"/>
            </a:solidFill>
          </a:ln>
          <a:effectLst/>
        </c:spPr>
      </c:pivotFmt>
      <c:pivotFmt>
        <c:idx val="8"/>
        <c:spPr>
          <a:pattFill prst="smCheck">
            <a:fgClr>
              <a:schemeClr val="accent4"/>
            </a:fgClr>
            <a:bgClr>
              <a:schemeClr val="bg1"/>
            </a:bgClr>
          </a:pattFill>
          <a:ln w="19050">
            <a:solidFill>
              <a:schemeClr val="lt1"/>
            </a:solidFill>
          </a:ln>
          <a:effectLst/>
        </c:spPr>
      </c:pivotFmt>
      <c:pivotFmt>
        <c:idx val="9"/>
        <c:spPr>
          <a:pattFill prst="lgGrid">
            <a:fgClr>
              <a:schemeClr val="accent4"/>
            </a:fgClr>
            <a:bgClr>
              <a:schemeClr val="bg1"/>
            </a:bgClr>
          </a:pattFill>
          <a:ln w="19050">
            <a:solidFill>
              <a:schemeClr val="lt1"/>
            </a:solidFill>
          </a:ln>
          <a:effectLst/>
        </c:spPr>
      </c:pivotFmt>
      <c:pivotFmt>
        <c:idx val="10"/>
        <c:spPr>
          <a:pattFill prst="ltVert">
            <a:fgClr>
              <a:schemeClr val="accent4"/>
            </a:fgClr>
            <a:bgClr>
              <a:schemeClr val="bg1"/>
            </a:bgClr>
          </a:pattFill>
          <a:ln w="19050">
            <a:solidFill>
              <a:schemeClr val="lt1"/>
            </a:solidFill>
          </a:ln>
          <a:effectLst/>
        </c:spPr>
      </c:pivotFmt>
    </c:pivotFmts>
    <c:plotArea>
      <c:layout>
        <c:manualLayout>
          <c:layoutTarget val="inner"/>
          <c:xMode val="edge"/>
          <c:yMode val="edge"/>
          <c:x val="4.5414257879757863E-2"/>
          <c:y val="0.17058454607267842"/>
          <c:w val="0.49751557685724068"/>
          <c:h val="0.83874346879305195"/>
        </c:manualLayout>
      </c:layout>
      <c:pieChart>
        <c:varyColors val="1"/>
        <c:ser>
          <c:idx val="0"/>
          <c:order val="0"/>
          <c:tx>
            <c:strRef>
              <c:f>Sheet1!$K$7</c:f>
              <c:strCache>
                <c:ptCount val="1"/>
                <c:pt idx="0">
                  <c:v>Total</c:v>
                </c:pt>
              </c:strCache>
            </c:strRef>
          </c:tx>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c:spPr>
          <c:dPt>
            <c:idx val="0"/>
            <c:bubble3D val="0"/>
            <c:spPr>
              <a:pattFill prst="pct80">
                <a:fgClr>
                  <a:schemeClr val="accent4"/>
                </a:fgClr>
                <a:bgClr>
                  <a:schemeClr val="bg1"/>
                </a:bgClr>
              </a:pattFill>
              <a:ln w="19050">
                <a:solidFill>
                  <a:schemeClr val="lt1"/>
                </a:solidFill>
              </a:ln>
              <a:effectLst/>
            </c:spPr>
            <c:extLst>
              <c:ext xmlns:c16="http://schemas.microsoft.com/office/drawing/2014/chart" uri="{C3380CC4-5D6E-409C-BE32-E72D297353CC}">
                <c16:uniqueId val="{00000001-EF7F-4610-AABC-BE6D6754B105}"/>
              </c:ext>
            </c:extLst>
          </c:dPt>
          <c:dPt>
            <c:idx val="1"/>
            <c:bubble3D val="0"/>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a:ln w="19050">
                <a:solidFill>
                  <a:schemeClr val="lt1"/>
                </a:solidFill>
              </a:ln>
              <a:effectLst/>
            </c:spPr>
            <c:extLst>
              <c:ext xmlns:c16="http://schemas.microsoft.com/office/drawing/2014/chart" uri="{C3380CC4-5D6E-409C-BE32-E72D297353CC}">
                <c16:uniqueId val="{00000003-EF7F-4610-AABC-BE6D6754B105}"/>
              </c:ext>
            </c:extLst>
          </c:dPt>
          <c:dPt>
            <c:idx val="2"/>
            <c:bubble3D val="0"/>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a:ln w="19050">
                <a:solidFill>
                  <a:schemeClr val="lt1"/>
                </a:solidFill>
              </a:ln>
              <a:effectLst/>
            </c:spPr>
            <c:extLst>
              <c:ext xmlns:c16="http://schemas.microsoft.com/office/drawing/2014/chart" uri="{C3380CC4-5D6E-409C-BE32-E72D297353CC}">
                <c16:uniqueId val="{00000005-EF7F-4610-AABC-BE6D6754B105}"/>
              </c:ext>
            </c:extLst>
          </c:dPt>
          <c:dPt>
            <c:idx val="3"/>
            <c:bubble3D val="0"/>
            <c:spPr>
              <a:gradFill>
                <a:gsLst>
                  <a:gs pos="0">
                    <a:schemeClr val="tx2">
                      <a:lumMod val="40000"/>
                      <a:lumOff val="60000"/>
                    </a:schemeClr>
                  </a:gs>
                  <a:gs pos="58000">
                    <a:schemeClr val="accent4">
                      <a:tint val="37000"/>
                      <a:satMod val="300000"/>
                    </a:schemeClr>
                  </a:gs>
                  <a:gs pos="83000">
                    <a:schemeClr val="accent4">
                      <a:tint val="15000"/>
                      <a:satMod val="350000"/>
                    </a:schemeClr>
                  </a:gs>
                </a:gsLst>
                <a:lin ang="16200000" scaled="1"/>
              </a:gradFill>
              <a:ln w="19050">
                <a:solidFill>
                  <a:schemeClr val="lt1"/>
                </a:solidFill>
              </a:ln>
              <a:effectLst/>
            </c:spPr>
            <c:extLst>
              <c:ext xmlns:c16="http://schemas.microsoft.com/office/drawing/2014/chart" uri="{C3380CC4-5D6E-409C-BE32-E72D297353CC}">
                <c16:uniqueId val="{00000007-EF7F-4610-AABC-BE6D6754B10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Sheet1!$J$8:$J$9</c:f>
              <c:strCache>
                <c:ptCount val="1"/>
                <c:pt idx="0">
                  <c:v>Chennai</c:v>
                </c:pt>
              </c:strCache>
            </c:strRef>
          </c:cat>
          <c:val>
            <c:numRef>
              <c:f>Sheet1!$K$8:$K$9</c:f>
              <c:numCache>
                <c:formatCode>General</c:formatCode>
                <c:ptCount val="1"/>
                <c:pt idx="0">
                  <c:v>5</c:v>
                </c:pt>
              </c:numCache>
            </c:numRef>
          </c:val>
          <c:extLst>
            <c:ext xmlns:c16="http://schemas.microsoft.com/office/drawing/2014/chart" uri="{C3380CC4-5D6E-409C-BE32-E72D297353CC}">
              <c16:uniqueId val="{00000008-EF7F-4610-AABC-BE6D6754B1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[Employee_Dashboard_.xlsx]Sheet1!performance</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27306">
                  <a:srgbClr val="DCE6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16664178696574E-2"/>
          <c:y val="9.8678379868056512E-2"/>
          <c:w val="0.9358333375437442"/>
          <c:h val="0.77513664187566622"/>
        </c:manualLayout>
      </c:layout>
      <c:lineChart>
        <c:grouping val="stacked"/>
        <c:varyColors val="0"/>
        <c:ser>
          <c:idx val="0"/>
          <c:order val="0"/>
          <c:tx>
            <c:strRef>
              <c:f>Sheet1!$K$25</c:f>
              <c:strCache>
                <c:ptCount val="1"/>
                <c:pt idx="0">
                  <c:v>Total</c:v>
                </c:pt>
              </c:strCache>
            </c:strRef>
          </c:tx>
          <c:spPr>
            <a:ln w="28575" cap="rnd">
              <a:gradFill>
                <a:gsLst>
                  <a:gs pos="27306">
                    <a:srgbClr val="DCE6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cat>
            <c:strRef>
              <c:f>Sheet1!$J$26:$J$30</c:f>
              <c:strCache>
                <c:ptCount val="4"/>
                <c:pt idx="0">
                  <c:v>Jan</c:v>
                </c:pt>
                <c:pt idx="1">
                  <c:v>Feb</c:v>
                </c:pt>
                <c:pt idx="2">
                  <c:v>Apr</c:v>
                </c:pt>
                <c:pt idx="3">
                  <c:v>May</c:v>
                </c:pt>
              </c:strCache>
            </c:strRef>
          </c:cat>
          <c:val>
            <c:numRef>
              <c:f>Sheet1!$K$26:$K$30</c:f>
              <c:numCache>
                <c:formatCode>General</c:formatCode>
                <c:ptCount val="4"/>
                <c:pt idx="0">
                  <c:v>3.5</c:v>
                </c:pt>
                <c:pt idx="1">
                  <c:v>3</c:v>
                </c:pt>
                <c:pt idx="2">
                  <c:v>5</c:v>
                </c:pt>
                <c:pt idx="3">
                  <c:v>4</c:v>
                </c:pt>
              </c:numCache>
            </c:numRef>
          </c:val>
          <c:smooth val="0"/>
          <c:extLst>
            <c:ext xmlns:c16="http://schemas.microsoft.com/office/drawing/2014/chart" uri="{C3380CC4-5D6E-409C-BE32-E72D297353CC}">
              <c16:uniqueId val="{00000000-F775-4731-BF71-3C1A5F083AA9}"/>
            </c:ext>
          </c:extLst>
        </c:ser>
        <c:dLbls>
          <c:showLegendKey val="0"/>
          <c:showVal val="0"/>
          <c:showCatName val="0"/>
          <c:showSerName val="0"/>
          <c:showPercent val="0"/>
          <c:showBubbleSize val="0"/>
        </c:dLbls>
        <c:marker val="1"/>
        <c:smooth val="0"/>
        <c:axId val="806333791"/>
        <c:axId val="520643407"/>
      </c:lineChart>
      <c:catAx>
        <c:axId val="806333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crossAx val="520643407"/>
        <c:crosses val="autoZero"/>
        <c:auto val="1"/>
        <c:lblAlgn val="ctr"/>
        <c:lblOffset val="100"/>
        <c:noMultiLvlLbl val="0"/>
      </c:catAx>
      <c:valAx>
        <c:axId val="520643407"/>
        <c:scaling>
          <c:orientation val="minMax"/>
        </c:scaling>
        <c:delete val="1"/>
        <c:axPos val="l"/>
        <c:numFmt formatCode="General" sourceLinked="1"/>
        <c:majorTickMark val="none"/>
        <c:minorTickMark val="none"/>
        <c:tickLblPos val="nextTo"/>
        <c:crossAx val="80633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15</xdr:col>
      <xdr:colOff>389468</xdr:colOff>
      <xdr:row>8</xdr:row>
      <xdr:rowOff>126999</xdr:rowOff>
    </xdr:from>
    <xdr:to>
      <xdr:col>18</xdr:col>
      <xdr:colOff>406400</xdr:colOff>
      <xdr:row>19</xdr:row>
      <xdr:rowOff>33866</xdr:rowOff>
    </xdr:to>
    <mc:AlternateContent xmlns:mc="http://schemas.openxmlformats.org/markup-compatibility/2006">
      <mc:Choice xmlns:a14="http://schemas.microsoft.com/office/drawing/2010/main" Requires="a14">
        <xdr:graphicFrame macro="">
          <xdr:nvGraphicFramePr>
            <xdr:cNvPr id="18" name="City">
              <a:extLst>
                <a:ext uri="{FF2B5EF4-FFF2-40B4-BE49-F238E27FC236}">
                  <a16:creationId xmlns:a16="http://schemas.microsoft.com/office/drawing/2014/main" id="{62AA34FD-749E-48E2-84BE-AACCB4333CA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533468" y="1617132"/>
              <a:ext cx="1845732" cy="195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47019</xdr:colOff>
      <xdr:row>0</xdr:row>
      <xdr:rowOff>0</xdr:rowOff>
    </xdr:from>
    <xdr:to>
      <xdr:col>18</xdr:col>
      <xdr:colOff>555019</xdr:colOff>
      <xdr:row>2</xdr:row>
      <xdr:rowOff>164308</xdr:rowOff>
    </xdr:to>
    <xdr:sp macro="" textlink="">
      <xdr:nvSpPr>
        <xdr:cNvPr id="3" name="Rectangle 2">
          <a:extLst>
            <a:ext uri="{FF2B5EF4-FFF2-40B4-BE49-F238E27FC236}">
              <a16:creationId xmlns:a16="http://schemas.microsoft.com/office/drawing/2014/main" id="{4469DED1-6273-DF98-E901-6575551CECEA}"/>
            </a:ext>
          </a:extLst>
        </xdr:cNvPr>
        <xdr:cNvSpPr/>
      </xdr:nvSpPr>
      <xdr:spPr>
        <a:xfrm>
          <a:off x="47019" y="0"/>
          <a:ext cx="11519437" cy="52920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800" b="1" baseline="0">
              <a:solidFill>
                <a:schemeClr val="accent4">
                  <a:lumMod val="75000"/>
                </a:schemeClr>
              </a:solidFill>
              <a:latin typeface="+mj-lt"/>
            </a:rPr>
            <a:t>                                </a:t>
          </a:r>
          <a:r>
            <a:rPr lang="en-IN" sz="2800" b="1">
              <a:solidFill>
                <a:schemeClr val="accent4">
                  <a:lumMod val="75000"/>
                </a:schemeClr>
              </a:solidFill>
              <a:latin typeface="+mj-lt"/>
            </a:rPr>
            <a:t>Employee Analytics Dashboard</a:t>
          </a:r>
        </a:p>
      </xdr:txBody>
    </xdr:sp>
    <xdr:clientData/>
  </xdr:twoCellAnchor>
  <xdr:twoCellAnchor>
    <xdr:from>
      <xdr:col>2</xdr:col>
      <xdr:colOff>167374</xdr:colOff>
      <xdr:row>3</xdr:row>
      <xdr:rowOff>4091</xdr:rowOff>
    </xdr:from>
    <xdr:to>
      <xdr:col>8</xdr:col>
      <xdr:colOff>127001</xdr:colOff>
      <xdr:row>14</xdr:row>
      <xdr:rowOff>154214</xdr:rowOff>
    </xdr:to>
    <xdr:sp macro="" textlink="">
      <xdr:nvSpPr>
        <xdr:cNvPr id="4" name="Rectangle: Rounded Corners 3">
          <a:extLst>
            <a:ext uri="{FF2B5EF4-FFF2-40B4-BE49-F238E27FC236}">
              <a16:creationId xmlns:a16="http://schemas.microsoft.com/office/drawing/2014/main" id="{3A7A5BD7-C275-3459-244B-0324618F9BDA}"/>
            </a:ext>
          </a:extLst>
        </xdr:cNvPr>
        <xdr:cNvSpPr/>
      </xdr:nvSpPr>
      <xdr:spPr>
        <a:xfrm>
          <a:off x="1382945" y="548377"/>
          <a:ext cx="3606342" cy="2145837"/>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321733</xdr:colOff>
      <xdr:row>4</xdr:row>
      <xdr:rowOff>110065</xdr:rowOff>
    </xdr:from>
    <xdr:to>
      <xdr:col>7</xdr:col>
      <xdr:colOff>541858</xdr:colOff>
      <xdr:row>15</xdr:row>
      <xdr:rowOff>180531</xdr:rowOff>
    </xdr:to>
    <xdr:graphicFrame macro="">
      <xdr:nvGraphicFramePr>
        <xdr:cNvPr id="5" name="Chart 4">
          <a:extLst>
            <a:ext uri="{FF2B5EF4-FFF2-40B4-BE49-F238E27FC236}">
              <a16:creationId xmlns:a16="http://schemas.microsoft.com/office/drawing/2014/main" id="{13967466-BEFD-4D7F-A273-FE8077ACF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299100</xdr:colOff>
      <xdr:row>15</xdr:row>
      <xdr:rowOff>54428</xdr:rowOff>
    </xdr:from>
    <xdr:to>
      <xdr:col>14</xdr:col>
      <xdr:colOff>462643</xdr:colOff>
      <xdr:row>27</xdr:row>
      <xdr:rowOff>81643</xdr:rowOff>
    </xdr:to>
    <xdr:sp macro="" textlink="">
      <xdr:nvSpPr>
        <xdr:cNvPr id="6" name="Rectangle: Rounded Corners 5">
          <a:extLst>
            <a:ext uri="{FF2B5EF4-FFF2-40B4-BE49-F238E27FC236}">
              <a16:creationId xmlns:a16="http://schemas.microsoft.com/office/drawing/2014/main" id="{59767817-BE5D-579C-80A6-A81BEC5BC5D4}"/>
            </a:ext>
          </a:extLst>
        </xdr:cNvPr>
        <xdr:cNvSpPr/>
      </xdr:nvSpPr>
      <xdr:spPr>
        <a:xfrm>
          <a:off x="5161386" y="2775857"/>
          <a:ext cx="3810257" cy="2204357"/>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45358</xdr:colOff>
      <xdr:row>15</xdr:row>
      <xdr:rowOff>154214</xdr:rowOff>
    </xdr:from>
    <xdr:to>
      <xdr:col>15</xdr:col>
      <xdr:colOff>18143</xdr:colOff>
      <xdr:row>26</xdr:row>
      <xdr:rowOff>62861</xdr:rowOff>
    </xdr:to>
    <xdr:graphicFrame macro="">
      <xdr:nvGraphicFramePr>
        <xdr:cNvPr id="7" name="Chart 6">
          <a:extLst>
            <a:ext uri="{FF2B5EF4-FFF2-40B4-BE49-F238E27FC236}">
              <a16:creationId xmlns:a16="http://schemas.microsoft.com/office/drawing/2014/main" id="{6AF22CA3-A5F0-446A-8F70-BE68DBDC8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279400</xdr:colOff>
      <xdr:row>3</xdr:row>
      <xdr:rowOff>42334</xdr:rowOff>
    </xdr:from>
    <xdr:to>
      <xdr:col>7</xdr:col>
      <xdr:colOff>423333</xdr:colOff>
      <xdr:row>5</xdr:row>
      <xdr:rowOff>50801</xdr:rowOff>
    </xdr:to>
    <xdr:sp macro="" textlink="">
      <xdr:nvSpPr>
        <xdr:cNvPr id="9" name="TextBox 8">
          <a:extLst>
            <a:ext uri="{FF2B5EF4-FFF2-40B4-BE49-F238E27FC236}">
              <a16:creationId xmlns:a16="http://schemas.microsoft.com/office/drawing/2014/main" id="{955A73A4-345B-13D2-009E-629C2F45007D}"/>
            </a:ext>
          </a:extLst>
        </xdr:cNvPr>
        <xdr:cNvSpPr txBox="1"/>
      </xdr:nvSpPr>
      <xdr:spPr>
        <a:xfrm>
          <a:off x="1498600" y="601134"/>
          <a:ext cx="3191933" cy="381000"/>
        </a:xfrm>
        <a:prstGeom prst="rect">
          <a:avLst/>
        </a:prstGeom>
        <a:no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Employee Count by Department</a:t>
          </a:r>
        </a:p>
        <a:p>
          <a:pPr algn="ctr"/>
          <a:endParaRPr lang="en-IN" sz="1400">
            <a:latin typeface="+mj-lt"/>
          </a:endParaRPr>
        </a:p>
      </xdr:txBody>
    </xdr:sp>
    <xdr:clientData/>
  </xdr:twoCellAnchor>
  <xdr:oneCellAnchor>
    <xdr:from>
      <xdr:col>12</xdr:col>
      <xdr:colOff>145142</xdr:colOff>
      <xdr:row>12</xdr:row>
      <xdr:rowOff>90714</xdr:rowOff>
    </xdr:from>
    <xdr:ext cx="184731" cy="264560"/>
    <xdr:sp macro="" textlink="">
      <xdr:nvSpPr>
        <xdr:cNvPr id="10" name="TextBox 9">
          <a:extLst>
            <a:ext uri="{FF2B5EF4-FFF2-40B4-BE49-F238E27FC236}">
              <a16:creationId xmlns:a16="http://schemas.microsoft.com/office/drawing/2014/main" id="{E50DC58F-52A6-054A-BAE1-1565665224A4}"/>
            </a:ext>
          </a:extLst>
        </xdr:cNvPr>
        <xdr:cNvSpPr txBox="1"/>
      </xdr:nvSpPr>
      <xdr:spPr>
        <a:xfrm>
          <a:off x="7438571" y="22678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304801</xdr:colOff>
      <xdr:row>15</xdr:row>
      <xdr:rowOff>81642</xdr:rowOff>
    </xdr:from>
    <xdr:to>
      <xdr:col>14</xdr:col>
      <xdr:colOff>59267</xdr:colOff>
      <xdr:row>17</xdr:row>
      <xdr:rowOff>18143</xdr:rowOff>
    </xdr:to>
    <xdr:sp macro="" textlink="">
      <xdr:nvSpPr>
        <xdr:cNvPr id="11" name="TextBox 10">
          <a:extLst>
            <a:ext uri="{FF2B5EF4-FFF2-40B4-BE49-F238E27FC236}">
              <a16:creationId xmlns:a16="http://schemas.microsoft.com/office/drawing/2014/main" id="{D2B8E408-D621-0967-D992-99EA8B904560}"/>
            </a:ext>
          </a:extLst>
        </xdr:cNvPr>
        <xdr:cNvSpPr txBox="1"/>
      </xdr:nvSpPr>
      <xdr:spPr>
        <a:xfrm>
          <a:off x="5181601" y="2875642"/>
          <a:ext cx="3412066" cy="309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Average Salary by Department</a:t>
          </a:r>
          <a:endParaRPr lang="en-IN" sz="1400">
            <a:solidFill>
              <a:schemeClr val="dk1"/>
            </a:solidFill>
            <a:latin typeface="+mj-lt"/>
            <a:ea typeface="+mn-ea"/>
            <a:cs typeface="+mn-cs"/>
          </a:endParaRPr>
        </a:p>
      </xdr:txBody>
    </xdr:sp>
    <xdr:clientData/>
  </xdr:twoCellAnchor>
  <xdr:twoCellAnchor>
    <xdr:from>
      <xdr:col>8</xdr:col>
      <xdr:colOff>195943</xdr:colOff>
      <xdr:row>3</xdr:row>
      <xdr:rowOff>22981</xdr:rowOff>
    </xdr:from>
    <xdr:to>
      <xdr:col>14</xdr:col>
      <xdr:colOff>259443</xdr:colOff>
      <xdr:row>14</xdr:row>
      <xdr:rowOff>104625</xdr:rowOff>
    </xdr:to>
    <xdr:sp macro="" textlink="">
      <xdr:nvSpPr>
        <xdr:cNvPr id="12" name="Rectangle: Rounded Corners 11">
          <a:extLst>
            <a:ext uri="{FF2B5EF4-FFF2-40B4-BE49-F238E27FC236}">
              <a16:creationId xmlns:a16="http://schemas.microsoft.com/office/drawing/2014/main" id="{06459B80-89C5-1F42-0EE5-6354B315C67B}"/>
            </a:ext>
          </a:extLst>
        </xdr:cNvPr>
        <xdr:cNvSpPr/>
      </xdr:nvSpPr>
      <xdr:spPr>
        <a:xfrm>
          <a:off x="5072743" y="581781"/>
          <a:ext cx="3721100" cy="2130577"/>
        </a:xfrm>
        <a:prstGeom prst="roundRect">
          <a:avLst/>
        </a:prstGeom>
        <a:solidFill>
          <a:schemeClr val="accent4"/>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465669</xdr:colOff>
      <xdr:row>5</xdr:row>
      <xdr:rowOff>42334</xdr:rowOff>
    </xdr:from>
    <xdr:to>
      <xdr:col>13</xdr:col>
      <xdr:colOff>381001</xdr:colOff>
      <xdr:row>13</xdr:row>
      <xdr:rowOff>127000</xdr:rowOff>
    </xdr:to>
    <xdr:graphicFrame macro="">
      <xdr:nvGraphicFramePr>
        <xdr:cNvPr id="13" name="Chart 12">
          <a:extLst>
            <a:ext uri="{FF2B5EF4-FFF2-40B4-BE49-F238E27FC236}">
              <a16:creationId xmlns:a16="http://schemas.microsoft.com/office/drawing/2014/main" id="{4EA61037-28A0-4C41-8347-6E531A676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465667</xdr:colOff>
      <xdr:row>3</xdr:row>
      <xdr:rowOff>84667</xdr:rowOff>
    </xdr:from>
    <xdr:to>
      <xdr:col>13</xdr:col>
      <xdr:colOff>290286</xdr:colOff>
      <xdr:row>6</xdr:row>
      <xdr:rowOff>160867</xdr:rowOff>
    </xdr:to>
    <xdr:sp macro="" textlink="">
      <xdr:nvSpPr>
        <xdr:cNvPr id="14" name="TextBox 13">
          <a:extLst>
            <a:ext uri="{FF2B5EF4-FFF2-40B4-BE49-F238E27FC236}">
              <a16:creationId xmlns:a16="http://schemas.microsoft.com/office/drawing/2014/main" id="{3397064B-9231-4E03-394D-44C4345F2A2F}"/>
            </a:ext>
          </a:extLst>
        </xdr:cNvPr>
        <xdr:cNvSpPr txBox="1"/>
      </xdr:nvSpPr>
      <xdr:spPr>
        <a:xfrm>
          <a:off x="5952067" y="643467"/>
          <a:ext cx="2263019"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Employee Distribution by       </a:t>
          </a:r>
          <a:r>
            <a:rPr lang="en-IN" sz="1400" baseline="0"/>
            <a:t>                      </a:t>
          </a:r>
          <a:r>
            <a:rPr lang="en-IN" sz="1400"/>
            <a:t>City</a:t>
          </a:r>
          <a:endParaRPr lang="en-IN" sz="1400">
            <a:latin typeface="+mj-lt"/>
          </a:endParaRPr>
        </a:p>
      </xdr:txBody>
    </xdr:sp>
    <xdr:clientData/>
  </xdr:twoCellAnchor>
  <xdr:twoCellAnchor>
    <xdr:from>
      <xdr:col>0</xdr:col>
      <xdr:colOff>172357</xdr:colOff>
      <xdr:row>15</xdr:row>
      <xdr:rowOff>81642</xdr:rowOff>
    </xdr:from>
    <xdr:to>
      <xdr:col>8</xdr:col>
      <xdr:colOff>172357</xdr:colOff>
      <xdr:row>27</xdr:row>
      <xdr:rowOff>90715</xdr:rowOff>
    </xdr:to>
    <xdr:sp macro="" textlink="">
      <xdr:nvSpPr>
        <xdr:cNvPr id="15" name="Rectangle: Rounded Corners 14">
          <a:extLst>
            <a:ext uri="{FF2B5EF4-FFF2-40B4-BE49-F238E27FC236}">
              <a16:creationId xmlns:a16="http://schemas.microsoft.com/office/drawing/2014/main" id="{403BAEEE-15B4-21E8-092D-F6EBB1B48905}"/>
            </a:ext>
          </a:extLst>
        </xdr:cNvPr>
        <xdr:cNvSpPr/>
      </xdr:nvSpPr>
      <xdr:spPr>
        <a:xfrm>
          <a:off x="172357" y="2803071"/>
          <a:ext cx="4862286" cy="2186215"/>
        </a:xfrm>
        <a:prstGeom prst="round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517071</xdr:colOff>
      <xdr:row>15</xdr:row>
      <xdr:rowOff>117928</xdr:rowOff>
    </xdr:from>
    <xdr:to>
      <xdr:col>8</xdr:col>
      <xdr:colOff>9071</xdr:colOff>
      <xdr:row>27</xdr:row>
      <xdr:rowOff>1</xdr:rowOff>
    </xdr:to>
    <xdr:graphicFrame macro="">
      <xdr:nvGraphicFramePr>
        <xdr:cNvPr id="16" name="Chart 15">
          <a:extLst>
            <a:ext uri="{FF2B5EF4-FFF2-40B4-BE49-F238E27FC236}">
              <a16:creationId xmlns:a16="http://schemas.microsoft.com/office/drawing/2014/main" id="{2EC70C91-03C0-4406-9F80-12E63FFE1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533400</xdr:colOff>
      <xdr:row>15</xdr:row>
      <xdr:rowOff>136069</xdr:rowOff>
    </xdr:from>
    <xdr:to>
      <xdr:col>7</xdr:col>
      <xdr:colOff>516467</xdr:colOff>
      <xdr:row>17</xdr:row>
      <xdr:rowOff>117927</xdr:rowOff>
    </xdr:to>
    <xdr:sp macro="" textlink="">
      <xdr:nvSpPr>
        <xdr:cNvPr id="17" name="TextBox 16">
          <a:extLst>
            <a:ext uri="{FF2B5EF4-FFF2-40B4-BE49-F238E27FC236}">
              <a16:creationId xmlns:a16="http://schemas.microsoft.com/office/drawing/2014/main" id="{27F40FA7-70A2-9576-4EF1-97E6151F6AD2}"/>
            </a:ext>
          </a:extLst>
        </xdr:cNvPr>
        <xdr:cNvSpPr txBox="1"/>
      </xdr:nvSpPr>
      <xdr:spPr>
        <a:xfrm>
          <a:off x="533400" y="2930069"/>
          <a:ext cx="4250267" cy="354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r>
            <a:rPr lang="en-IN" sz="1400" baseline="0"/>
            <a:t>               </a:t>
          </a:r>
          <a:r>
            <a:rPr lang="en-IN" sz="1400"/>
            <a:t>Average Performance by Month</a:t>
          </a:r>
          <a:endParaRPr lang="en-IN" sz="1400">
            <a:solidFill>
              <a:schemeClr val="tx1"/>
            </a:solidFill>
            <a:latin typeface="+mj-lt"/>
          </a:endParaRPr>
        </a:p>
      </xdr:txBody>
    </xdr:sp>
    <xdr:clientData/>
  </xdr:twoCellAnchor>
  <xdr:twoCellAnchor editAs="oneCell">
    <xdr:from>
      <xdr:col>15</xdr:col>
      <xdr:colOff>390070</xdr:colOff>
      <xdr:row>19</xdr:row>
      <xdr:rowOff>59869</xdr:rowOff>
    </xdr:from>
    <xdr:to>
      <xdr:col>18</xdr:col>
      <xdr:colOff>431800</xdr:colOff>
      <xdr:row>27</xdr:row>
      <xdr:rowOff>110067</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29EF2DC2-A816-4B02-907B-027A7BF052A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534070" y="3598936"/>
              <a:ext cx="1870530" cy="1540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27</xdr:row>
      <xdr:rowOff>0</xdr:rowOff>
    </xdr:from>
    <xdr:to>
      <xdr:col>19</xdr:col>
      <xdr:colOff>76200</xdr:colOff>
      <xdr:row>29</xdr:row>
      <xdr:rowOff>160020</xdr:rowOff>
    </xdr:to>
    <xdr:sp macro="" textlink="">
      <xdr:nvSpPr>
        <xdr:cNvPr id="3073" name="Text Box 1">
          <a:extLst>
            <a:ext uri="{FF2B5EF4-FFF2-40B4-BE49-F238E27FC236}">
              <a16:creationId xmlns:a16="http://schemas.microsoft.com/office/drawing/2014/main" id="{39E06A23-C316-C36F-718E-0641DEEFDE27}"/>
            </a:ext>
          </a:extLst>
        </xdr:cNvPr>
        <xdr:cNvSpPr txBox="1">
          <a:spLocks noChangeArrowheads="1"/>
        </xdr:cNvSpPr>
      </xdr:nvSpPr>
      <xdr:spPr bwMode="auto">
        <a:xfrm>
          <a:off x="10972800" y="4937760"/>
          <a:ext cx="685800" cy="5257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Employee Analytics Dashboard</a:t>
          </a:r>
        </a:p>
      </xdr:txBody>
    </xdr:sp>
    <xdr:clientData/>
  </xdr:twoCellAnchor>
  <xdr:twoCellAnchor>
    <xdr:from>
      <xdr:col>18</xdr:col>
      <xdr:colOff>0</xdr:colOff>
      <xdr:row>27</xdr:row>
      <xdr:rowOff>0</xdr:rowOff>
    </xdr:from>
    <xdr:to>
      <xdr:col>19</xdr:col>
      <xdr:colOff>76200</xdr:colOff>
      <xdr:row>29</xdr:row>
      <xdr:rowOff>160020</xdr:rowOff>
    </xdr:to>
    <xdr:sp macro="" textlink="">
      <xdr:nvSpPr>
        <xdr:cNvPr id="3074" name="Text Box 2">
          <a:extLst>
            <a:ext uri="{FF2B5EF4-FFF2-40B4-BE49-F238E27FC236}">
              <a16:creationId xmlns:a16="http://schemas.microsoft.com/office/drawing/2014/main" id="{D9D1295A-13E9-FB09-E1FD-BF67EF7A15F4}"/>
            </a:ext>
          </a:extLst>
        </xdr:cNvPr>
        <xdr:cNvSpPr txBox="1">
          <a:spLocks noChangeArrowheads="1"/>
        </xdr:cNvSpPr>
      </xdr:nvSpPr>
      <xdr:spPr bwMode="auto">
        <a:xfrm>
          <a:off x="10972800" y="4937760"/>
          <a:ext cx="685800" cy="5257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Employee Analytics Dashboard</a:t>
          </a:r>
        </a:p>
      </xdr:txBody>
    </xdr:sp>
    <xdr:clientData/>
  </xdr:twoCellAnchor>
  <xdr:twoCellAnchor>
    <xdr:from>
      <xdr:col>0</xdr:col>
      <xdr:colOff>47018</xdr:colOff>
      <xdr:row>4</xdr:row>
      <xdr:rowOff>56025</xdr:rowOff>
    </xdr:from>
    <xdr:to>
      <xdr:col>2</xdr:col>
      <xdr:colOff>127001</xdr:colOff>
      <xdr:row>8</xdr:row>
      <xdr:rowOff>87914</xdr:rowOff>
    </xdr:to>
    <xdr:sp macro="" textlink="">
      <xdr:nvSpPr>
        <xdr:cNvPr id="20" name="Rectangle: Rounded Corners 19">
          <a:extLst>
            <a:ext uri="{FF2B5EF4-FFF2-40B4-BE49-F238E27FC236}">
              <a16:creationId xmlns:a16="http://schemas.microsoft.com/office/drawing/2014/main" id="{4F10E21F-FDD9-D639-F104-A2E47622E3E8}"/>
            </a:ext>
          </a:extLst>
        </xdr:cNvPr>
        <xdr:cNvSpPr/>
      </xdr:nvSpPr>
      <xdr:spPr>
        <a:xfrm>
          <a:off x="47018" y="801092"/>
          <a:ext cx="1299183" cy="776955"/>
        </a:xfrm>
        <a:prstGeom prst="round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US" sz="1100"/>
        </a:p>
        <a:p>
          <a:pPr algn="ctr"/>
          <a:r>
            <a:rPr lang="en-US" sz="1100"/>
            <a:t>Total Employees</a:t>
          </a:r>
        </a:p>
        <a:p>
          <a:pPr algn="ctr"/>
          <a:r>
            <a:rPr lang="en-US" sz="1100">
              <a:solidFill>
                <a:schemeClr val="lt1"/>
              </a:solidFill>
              <a:latin typeface="+mn-lt"/>
              <a:ea typeface="+mn-ea"/>
              <a:cs typeface="+mn-cs"/>
            </a:rPr>
            <a:t>15</a:t>
          </a:r>
        </a:p>
      </xdr:txBody>
    </xdr:sp>
    <xdr:clientData/>
  </xdr:twoCellAnchor>
  <xdr:twoCellAnchor>
    <xdr:from>
      <xdr:col>0</xdr:col>
      <xdr:colOff>47018</xdr:colOff>
      <xdr:row>8</xdr:row>
      <xdr:rowOff>186266</xdr:rowOff>
    </xdr:from>
    <xdr:to>
      <xdr:col>2</xdr:col>
      <xdr:colOff>118533</xdr:colOff>
      <xdr:row>12</xdr:row>
      <xdr:rowOff>90714</xdr:rowOff>
    </xdr:to>
    <xdr:sp macro="" textlink="Sheet1!F13">
      <xdr:nvSpPr>
        <xdr:cNvPr id="21" name="Rectangle: Rounded Corners 20">
          <a:extLst>
            <a:ext uri="{FF2B5EF4-FFF2-40B4-BE49-F238E27FC236}">
              <a16:creationId xmlns:a16="http://schemas.microsoft.com/office/drawing/2014/main" id="{5C301A52-E2ED-A298-46C4-4CFB0D6439E7}"/>
            </a:ext>
          </a:extLst>
        </xdr:cNvPr>
        <xdr:cNvSpPr/>
      </xdr:nvSpPr>
      <xdr:spPr>
        <a:xfrm>
          <a:off x="47018" y="1676399"/>
          <a:ext cx="1290715" cy="649515"/>
        </a:xfrm>
        <a:prstGeom prst="round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US" sz="1100" b="0" i="0" u="none" strike="noStrike">
              <a:solidFill>
                <a:schemeClr val="bg1"/>
              </a:solidFill>
              <a:latin typeface="Calibri"/>
              <a:ea typeface="Calibri"/>
              <a:cs typeface="Calibri"/>
            </a:rPr>
            <a:t>Average Salary</a:t>
          </a:r>
        </a:p>
        <a:p>
          <a:pPr marL="0" indent="0" algn="ctr"/>
          <a:fld id="{CBFA2FC3-1F73-439E-A171-BE5BE44634D3}" type="TxLink">
            <a:rPr lang="en-US" sz="1100" b="0" i="0" u="none" strike="noStrike">
              <a:solidFill>
                <a:schemeClr val="bg1"/>
              </a:solidFill>
              <a:latin typeface="Calibri"/>
              <a:ea typeface="Calibri"/>
              <a:cs typeface="Calibri"/>
            </a:rPr>
            <a:pPr marL="0" indent="0" algn="ctr"/>
            <a:t>₹ 37,400.00</a:t>
          </a:fld>
          <a:endParaRPr lang="en-US" sz="1100" b="0" i="0" u="none" strike="noStrike">
            <a:solidFill>
              <a:schemeClr val="bg1"/>
            </a:solidFill>
            <a:latin typeface="Calibri"/>
            <a:ea typeface="Calibri"/>
            <a:cs typeface="Calibri"/>
          </a:endParaRPr>
        </a:p>
        <a:p>
          <a:pPr marL="0" indent="0" algn="ctr"/>
          <a:endParaRPr lang="en-US" sz="1100" b="0" i="0" u="none" strike="noStrike">
            <a:solidFill>
              <a:schemeClr val="bg1"/>
            </a:solidFill>
            <a:latin typeface="Calibri"/>
            <a:ea typeface="Calibri"/>
            <a:cs typeface="Calibri"/>
          </a:endParaRPr>
        </a:p>
      </xdr:txBody>
    </xdr:sp>
    <xdr:clientData/>
  </xdr:twoCellAnchor>
  <xdr:twoCellAnchor editAs="oneCell">
    <xdr:from>
      <xdr:col>30</xdr:col>
      <xdr:colOff>25401</xdr:colOff>
      <xdr:row>7</xdr:row>
      <xdr:rowOff>160865</xdr:rowOff>
    </xdr:from>
    <xdr:to>
      <xdr:col>33</xdr:col>
      <xdr:colOff>42333</xdr:colOff>
      <xdr:row>18</xdr:row>
      <xdr:rowOff>67733</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3AF13D54-D519-EE16-FBD7-5E682306255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8313401" y="1464732"/>
              <a:ext cx="1845732" cy="195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359508</xdr:colOff>
      <xdr:row>3</xdr:row>
      <xdr:rowOff>89892</xdr:rowOff>
    </xdr:from>
    <xdr:to>
      <xdr:col>16</xdr:col>
      <xdr:colOff>211667</xdr:colOff>
      <xdr:row>8</xdr:row>
      <xdr:rowOff>67734</xdr:rowOff>
    </xdr:to>
    <xdr:sp macro="" textlink="Sheet1!K33">
      <xdr:nvSpPr>
        <xdr:cNvPr id="23" name="Rectangle: Rounded Corners 22">
          <a:extLst>
            <a:ext uri="{FF2B5EF4-FFF2-40B4-BE49-F238E27FC236}">
              <a16:creationId xmlns:a16="http://schemas.microsoft.com/office/drawing/2014/main" id="{03C5AF31-9DDA-4A56-C57F-E3358DBAD16A}"/>
            </a:ext>
          </a:extLst>
        </xdr:cNvPr>
        <xdr:cNvSpPr/>
      </xdr:nvSpPr>
      <xdr:spPr>
        <a:xfrm>
          <a:off x="8893908" y="648692"/>
          <a:ext cx="1071359" cy="909175"/>
        </a:xfrm>
        <a:prstGeom prst="round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1100" b="0" i="0" u="none" strike="noStrike">
              <a:solidFill>
                <a:schemeClr val="bg1"/>
              </a:solidFill>
              <a:latin typeface="Calibri"/>
              <a:ea typeface="Calibri"/>
              <a:cs typeface="Calibri"/>
            </a:rPr>
            <a:t>Average performance</a:t>
          </a:r>
        </a:p>
        <a:p>
          <a:pPr algn="ctr"/>
          <a:fld id="{00C016E5-E98A-4693-8961-89A6954CF833}" type="TxLink">
            <a:rPr lang="en-US" sz="1100" b="0" i="0" u="none" strike="noStrike">
              <a:solidFill>
                <a:schemeClr val="bg1"/>
              </a:solidFill>
              <a:latin typeface="Calibri"/>
              <a:ea typeface="Calibri"/>
              <a:cs typeface="Calibri"/>
            </a:rPr>
            <a:t>3.86</a:t>
          </a:fld>
          <a:endParaRPr lang="en-US" sz="1100">
            <a:solidFill>
              <a:schemeClr val="bg1"/>
            </a:solidFill>
            <a:latin typeface="+mn-lt"/>
            <a:ea typeface="+mn-ea"/>
            <a:cs typeface="+mn-cs"/>
          </a:endParaRPr>
        </a:p>
      </xdr:txBody>
    </xdr:sp>
    <xdr:clientData/>
  </xdr:twoCellAnchor>
  <xdr:twoCellAnchor editAs="oneCell">
    <xdr:from>
      <xdr:col>0</xdr:col>
      <xdr:colOff>482601</xdr:colOff>
      <xdr:row>10</xdr:row>
      <xdr:rowOff>101601</xdr:rowOff>
    </xdr:from>
    <xdr:to>
      <xdr:col>1</xdr:col>
      <xdr:colOff>197982</xdr:colOff>
      <xdr:row>12</xdr:row>
      <xdr:rowOff>59267</xdr:rowOff>
    </xdr:to>
    <xdr:pic>
      <xdr:nvPicPr>
        <xdr:cNvPr id="25" name="Graphic 24" descr="Money with solid fill">
          <a:extLst>
            <a:ext uri="{FF2B5EF4-FFF2-40B4-BE49-F238E27FC236}">
              <a16:creationId xmlns:a16="http://schemas.microsoft.com/office/drawing/2014/main" id="{B57822BA-AC8C-02B7-8781-D3680A7EEF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2601" y="1964268"/>
          <a:ext cx="324981" cy="330199"/>
        </a:xfrm>
        <a:prstGeom prst="rect">
          <a:avLst/>
        </a:prstGeom>
      </xdr:spPr>
    </xdr:pic>
    <xdr:clientData/>
  </xdr:twoCellAnchor>
  <xdr:twoCellAnchor editAs="oneCell">
    <xdr:from>
      <xdr:col>0</xdr:col>
      <xdr:colOff>488668</xdr:colOff>
      <xdr:row>4</xdr:row>
      <xdr:rowOff>6067</xdr:rowOff>
    </xdr:from>
    <xdr:to>
      <xdr:col>1</xdr:col>
      <xdr:colOff>237067</xdr:colOff>
      <xdr:row>5</xdr:row>
      <xdr:rowOff>183548</xdr:rowOff>
    </xdr:to>
    <xdr:pic>
      <xdr:nvPicPr>
        <xdr:cNvPr id="27" name="Graphic 26" descr="Children with solid fill">
          <a:extLst>
            <a:ext uri="{FF2B5EF4-FFF2-40B4-BE49-F238E27FC236}">
              <a16:creationId xmlns:a16="http://schemas.microsoft.com/office/drawing/2014/main" id="{01C0BA81-F251-0ACD-AD63-D28240D6F2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8668" y="751134"/>
          <a:ext cx="357999" cy="363747"/>
        </a:xfrm>
        <a:prstGeom prst="rect">
          <a:avLst/>
        </a:prstGeom>
      </xdr:spPr>
    </xdr:pic>
    <xdr:clientData/>
  </xdr:twoCellAnchor>
  <xdr:twoCellAnchor editAs="oneCell">
    <xdr:from>
      <xdr:col>15</xdr:col>
      <xdr:colOff>135467</xdr:colOff>
      <xdr:row>6</xdr:row>
      <xdr:rowOff>101601</xdr:rowOff>
    </xdr:from>
    <xdr:to>
      <xdr:col>15</xdr:col>
      <xdr:colOff>440266</xdr:colOff>
      <xdr:row>8</xdr:row>
      <xdr:rowOff>33867</xdr:rowOff>
    </xdr:to>
    <xdr:pic>
      <xdr:nvPicPr>
        <xdr:cNvPr id="33" name="Graphic 32" descr="Bar chart with solid fill">
          <a:extLst>
            <a:ext uri="{FF2B5EF4-FFF2-40B4-BE49-F238E27FC236}">
              <a16:creationId xmlns:a16="http://schemas.microsoft.com/office/drawing/2014/main" id="{18505B6F-8993-329D-2209-66DF4F3B6A4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279467" y="1219201"/>
          <a:ext cx="304799" cy="304799"/>
        </a:xfrm>
        <a:prstGeom prst="rect">
          <a:avLst/>
        </a:prstGeom>
      </xdr:spPr>
    </xdr:pic>
    <xdr:clientData/>
  </xdr:twoCellAnchor>
  <xdr:twoCellAnchor>
    <xdr:from>
      <xdr:col>16</xdr:col>
      <xdr:colOff>359508</xdr:colOff>
      <xdr:row>3</xdr:row>
      <xdr:rowOff>89892</xdr:rowOff>
    </xdr:from>
    <xdr:to>
      <xdr:col>18</xdr:col>
      <xdr:colOff>211667</xdr:colOff>
      <xdr:row>8</xdr:row>
      <xdr:rowOff>67734</xdr:rowOff>
    </xdr:to>
    <xdr:sp macro="" textlink="Sheet1!B4:B6">
      <xdr:nvSpPr>
        <xdr:cNvPr id="34" name="Rectangle: Rounded Corners 33">
          <a:extLst>
            <a:ext uri="{FF2B5EF4-FFF2-40B4-BE49-F238E27FC236}">
              <a16:creationId xmlns:a16="http://schemas.microsoft.com/office/drawing/2014/main" id="{520D92C9-0DF4-2D6B-4CE9-E3A09305D8B9}"/>
            </a:ext>
          </a:extLst>
        </xdr:cNvPr>
        <xdr:cNvSpPr/>
      </xdr:nvSpPr>
      <xdr:spPr>
        <a:xfrm>
          <a:off x="10113108" y="648692"/>
          <a:ext cx="1071359" cy="909175"/>
        </a:xfrm>
        <a:prstGeom prst="round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1100" b="0" i="0" u="none" strike="noStrike">
              <a:solidFill>
                <a:schemeClr val="bg1"/>
              </a:solidFill>
              <a:latin typeface="Calibri"/>
              <a:ea typeface="Calibri"/>
              <a:cs typeface="Calibri"/>
            </a:rPr>
            <a:t>Employees</a:t>
          </a:r>
        </a:p>
        <a:p>
          <a:pPr algn="ctr"/>
          <a:fld id="{7F369270-4C43-40F7-8BFC-DCE23473EF22}" type="TxLink">
            <a:rPr lang="en-US" sz="1100" b="0" i="0" u="none" strike="noStrike">
              <a:solidFill>
                <a:schemeClr val="bg1"/>
              </a:solidFill>
              <a:latin typeface="Calibri"/>
              <a:ea typeface="Calibri"/>
              <a:cs typeface="Calibri"/>
            </a:rPr>
            <a:t>1</a:t>
          </a:fld>
          <a:endParaRPr lang="en-US" sz="1100">
            <a:solidFill>
              <a:schemeClr val="bg1"/>
            </a:solidFill>
            <a:latin typeface="+mn-lt"/>
            <a:ea typeface="+mn-ea"/>
            <a:cs typeface="+mn-cs"/>
          </a:endParaRPr>
        </a:p>
      </xdr:txBody>
    </xdr:sp>
    <xdr:clientData/>
  </xdr:twoCellAnchor>
  <xdr:twoCellAnchor editAs="oneCell">
    <xdr:from>
      <xdr:col>17</xdr:col>
      <xdr:colOff>59267</xdr:colOff>
      <xdr:row>5</xdr:row>
      <xdr:rowOff>59267</xdr:rowOff>
    </xdr:from>
    <xdr:to>
      <xdr:col>18</xdr:col>
      <xdr:colOff>0</xdr:colOff>
      <xdr:row>8</xdr:row>
      <xdr:rowOff>50800</xdr:rowOff>
    </xdr:to>
    <xdr:pic>
      <xdr:nvPicPr>
        <xdr:cNvPr id="36" name="Graphic 35" descr="Business Growth with solid fill">
          <a:extLst>
            <a:ext uri="{FF2B5EF4-FFF2-40B4-BE49-F238E27FC236}">
              <a16:creationId xmlns:a16="http://schemas.microsoft.com/office/drawing/2014/main" id="{C863018F-ED43-59E7-411B-A02B1AD11DC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422467" y="990600"/>
          <a:ext cx="550333" cy="5503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G" refreshedDate="46234.755386111108" createdVersion="8" refreshedVersion="8" minRefreshableVersion="3" recordCount="15" xr:uid="{7CACA737-080C-4FF9-92E8-CA2408CBF298}">
  <cacheSource type="worksheet">
    <worksheetSource name="Table1"/>
  </cacheSource>
  <cacheFields count="7">
    <cacheField name="Emp ID" numFmtId="0">
      <sharedItems containsSemiMixedTypes="0" containsString="0" containsNumber="1" containsInteger="1" minValue="101" maxValue="115"/>
    </cacheField>
    <cacheField name="Name" numFmtId="0">
      <sharedItems/>
    </cacheField>
    <cacheField name="Department" numFmtId="0">
      <sharedItems count="3">
        <s v="Sales"/>
        <s v="HR"/>
        <s v="IT"/>
      </sharedItems>
    </cacheField>
    <cacheField name="City" numFmtId="0">
      <sharedItems count="4">
        <s v="Chennai"/>
        <s v="Vellore"/>
        <s v="Coimbatore"/>
        <s v="Madurai"/>
      </sharedItems>
    </cacheField>
    <cacheField name="Month" numFmtId="0">
      <sharedItems count="5">
        <s v="Jan"/>
        <s v="Feb"/>
        <s v="Mar"/>
        <s v="Apr"/>
        <s v="May"/>
      </sharedItems>
    </cacheField>
    <cacheField name="Salary" numFmtId="0">
      <sharedItems containsSemiMixedTypes="0" containsString="0" containsNumber="1" containsInteger="1" minValue="30000" maxValue="47000"/>
    </cacheField>
    <cacheField name="Performance" numFmtId="0">
      <sharedItems containsSemiMixedTypes="0" containsString="0" containsNumber="1" containsInteger="1" minValue="3" maxValue="5"/>
    </cacheField>
  </cacheFields>
  <extLst>
    <ext xmlns:x14="http://schemas.microsoft.com/office/spreadsheetml/2009/9/main" uri="{725AE2AE-9491-48be-B2B4-4EB974FC3084}">
      <x14:pivotCacheDefinition pivotCacheId="1823807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s v="Arun"/>
    <x v="0"/>
    <x v="0"/>
    <x v="0"/>
    <n v="35000"/>
    <n v="4"/>
  </r>
  <r>
    <n v="102"/>
    <s v="Priya"/>
    <x v="1"/>
    <x v="1"/>
    <x v="0"/>
    <n v="32000"/>
    <n v="5"/>
  </r>
  <r>
    <n v="103"/>
    <s v="Karthik"/>
    <x v="2"/>
    <x v="0"/>
    <x v="0"/>
    <n v="45000"/>
    <n v="3"/>
  </r>
  <r>
    <n v="104"/>
    <s v="Divya"/>
    <x v="0"/>
    <x v="2"/>
    <x v="1"/>
    <n v="38000"/>
    <n v="4"/>
  </r>
  <r>
    <n v="105"/>
    <s v="Rahul"/>
    <x v="2"/>
    <x v="1"/>
    <x v="1"/>
    <n v="42000"/>
    <n v="5"/>
  </r>
  <r>
    <n v="106"/>
    <s v="Meena"/>
    <x v="1"/>
    <x v="0"/>
    <x v="1"/>
    <n v="31000"/>
    <n v="3"/>
  </r>
  <r>
    <n v="107"/>
    <s v="Sanjay"/>
    <x v="0"/>
    <x v="3"/>
    <x v="2"/>
    <n v="36000"/>
    <n v="4"/>
  </r>
  <r>
    <n v="108"/>
    <s v="Anitha"/>
    <x v="2"/>
    <x v="2"/>
    <x v="2"/>
    <n v="47000"/>
    <n v="5"/>
  </r>
  <r>
    <n v="109"/>
    <s v="Vijay"/>
    <x v="1"/>
    <x v="3"/>
    <x v="2"/>
    <n v="33000"/>
    <n v="4"/>
  </r>
  <r>
    <n v="110"/>
    <s v="Keerthi"/>
    <x v="0"/>
    <x v="0"/>
    <x v="3"/>
    <n v="39000"/>
    <n v="5"/>
  </r>
  <r>
    <n v="111"/>
    <s v="Ajay"/>
    <x v="2"/>
    <x v="1"/>
    <x v="3"/>
    <n v="44000"/>
    <n v="4"/>
  </r>
  <r>
    <n v="112"/>
    <s v="Nisha"/>
    <x v="1"/>
    <x v="2"/>
    <x v="3"/>
    <n v="30000"/>
    <n v="3"/>
  </r>
  <r>
    <n v="113"/>
    <s v="Mohan"/>
    <x v="0"/>
    <x v="0"/>
    <x v="4"/>
    <n v="37000"/>
    <n v="4"/>
  </r>
  <r>
    <n v="114"/>
    <s v="Sneha"/>
    <x v="2"/>
    <x v="3"/>
    <x v="4"/>
    <n v="46000"/>
    <n v="5"/>
  </r>
  <r>
    <n v="115"/>
    <s v="Ravi"/>
    <x v="1"/>
    <x v="1"/>
    <x v="4"/>
    <n v="3400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C5B192-B4ED-45EB-9977-CB79BACAF4B8}" name="performanc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5:K30" firstHeaderRow="1" firstDataRow="1" firstDataCol="1"/>
  <pivotFields count="7">
    <pivotField showAll="0"/>
    <pivotField showAll="0"/>
    <pivotField showAll="0">
      <items count="4">
        <item x="1"/>
        <item x="2"/>
        <item x="0"/>
        <item t="default"/>
      </items>
    </pivotField>
    <pivotField showAll="0">
      <items count="5">
        <item x="0"/>
        <item h="1" x="2"/>
        <item h="1" x="3"/>
        <item h="1" x="1"/>
        <item t="default"/>
      </items>
    </pivotField>
    <pivotField axis="axisRow" showAll="0">
      <items count="6">
        <item x="0"/>
        <item x="1"/>
        <item x="2"/>
        <item x="3"/>
        <item x="4"/>
        <item t="default"/>
      </items>
    </pivotField>
    <pivotField showAll="0"/>
    <pivotField dataField="1" showAll="0"/>
  </pivotFields>
  <rowFields count="1">
    <field x="4"/>
  </rowFields>
  <rowItems count="5">
    <i>
      <x/>
    </i>
    <i>
      <x v="1"/>
    </i>
    <i>
      <x v="3"/>
    </i>
    <i>
      <x v="4"/>
    </i>
    <i t="grand">
      <x/>
    </i>
  </rowItems>
  <colItems count="1">
    <i/>
  </colItems>
  <dataFields count="1">
    <dataField name="Average of Performance" fld="6" subtotal="average" baseField="4"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E9EA10-5271-4708-AA68-584E1919FEBA}" name="month"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7:K9" firstHeaderRow="1" firstDataRow="1" firstDataCol="1"/>
  <pivotFields count="7">
    <pivotField showAll="0"/>
    <pivotField dataField="1" showAll="0"/>
    <pivotField showAll="0">
      <items count="4">
        <item x="1"/>
        <item x="2"/>
        <item x="0"/>
        <item t="default"/>
      </items>
    </pivotField>
    <pivotField axis="axisRow" showAll="0">
      <items count="5">
        <item x="0"/>
        <item h="1" x="2"/>
        <item h="1" x="3"/>
        <item h="1" x="1"/>
        <item t="default"/>
      </items>
    </pivotField>
    <pivotField showAll="0"/>
    <pivotField showAll="0"/>
    <pivotField showAll="0"/>
  </pivotFields>
  <rowFields count="1">
    <field x="3"/>
  </rowFields>
  <rowItems count="2">
    <i>
      <x/>
    </i>
    <i t="grand">
      <x/>
    </i>
  </rowItems>
  <colItems count="1">
    <i/>
  </colItems>
  <dataFields count="1">
    <dataField name="Count of Name"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3B728-1F1D-4631-A51A-92388049EB5B}" name="sala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5:F9" firstHeaderRow="1" firstDataRow="1" firstDataCol="1"/>
  <pivotFields count="7">
    <pivotField showAll="0"/>
    <pivotField showAll="0"/>
    <pivotField axis="axisRow" showAll="0">
      <items count="4">
        <item x="1"/>
        <item x="2"/>
        <item x="0"/>
        <item t="default"/>
      </items>
    </pivotField>
    <pivotField showAll="0">
      <items count="5">
        <item x="0"/>
        <item h="1" x="2"/>
        <item h="1" x="3"/>
        <item h="1" x="1"/>
        <item t="default"/>
      </items>
    </pivotField>
    <pivotField showAll="0"/>
    <pivotField dataField="1" showAll="0"/>
    <pivotField showAll="0"/>
  </pivotFields>
  <rowFields count="1">
    <field x="2"/>
  </rowFields>
  <rowItems count="4">
    <i>
      <x/>
    </i>
    <i>
      <x v="1"/>
    </i>
    <i>
      <x v="2"/>
    </i>
    <i t="grand">
      <x/>
    </i>
  </rowItems>
  <colItems count="1">
    <i/>
  </colItems>
  <dataFields count="1">
    <dataField name="Average of Salary" fld="5"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36628E-438D-4B50-BF27-FD8E494F4A6D}" name="deptempl"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7">
    <pivotField showAll="0"/>
    <pivotField dataField="1" showAll="0"/>
    <pivotField axis="axisRow" showAll="0">
      <items count="4">
        <item x="1"/>
        <item x="2"/>
        <item x="0"/>
        <item t="default"/>
      </items>
    </pivotField>
    <pivotField showAll="0">
      <items count="5">
        <item x="0"/>
        <item h="1" x="2"/>
        <item h="1" x="3"/>
        <item h="1" x="1"/>
        <item t="default"/>
      </items>
    </pivotField>
    <pivotField showAll="0"/>
    <pivotField showAll="0"/>
    <pivotField showAll="0"/>
  </pivotFields>
  <rowFields count="1">
    <field x="2"/>
  </rowFields>
  <rowItems count="4">
    <i>
      <x/>
    </i>
    <i>
      <x v="1"/>
    </i>
    <i>
      <x v="2"/>
    </i>
    <i t="grand">
      <x/>
    </i>
  </rowItems>
  <colItems count="1">
    <i/>
  </colItems>
  <dataFields count="1">
    <dataField name="Count of Name" fld="1"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CFE690-CEE3-40E4-B6BD-49DA8464F5A1}" sourceName="City">
  <pivotTables>
    <pivotTable tabId="2" name="month"/>
    <pivotTable tabId="2" name="deptempl"/>
    <pivotTable tabId="2" name="performance"/>
    <pivotTable tabId="2" name="salary"/>
  </pivotTables>
  <data>
    <tabular pivotCacheId="1823807714">
      <items count="4">
        <i x="0" s="1"/>
        <i x="2"/>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E35D153-8030-430C-A64B-294463DE070C}" sourceName="Department">
  <pivotTables>
    <pivotTable tabId="2" name="month"/>
    <pivotTable tabId="2" name="deptempl"/>
    <pivotTable tabId="2" name="performance"/>
    <pivotTable tabId="2" name="salary"/>
  </pivotTables>
  <data>
    <tabular pivotCacheId="182380771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8FB057A-F9C4-4FA6-B4D7-875742B2CB1B}" cache="Slicer_City" caption="City" style="SlicerStyleLight4" rowHeight="360000"/>
  <slicer name="City 1" xr10:uid="{5CA53025-ED79-4476-AE7F-976AA6CD0BCA}" cache="Slicer_City" caption="City" style="SlicerStyleLight4" rowHeight="360000"/>
  <slicer name="Department" xr10:uid="{4DE09577-05A2-4D64-8F3B-B1C3DBAA92B9}" cache="Slicer_Department" caption="Department" style="SlicerStyleLight4"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298706-970D-4BD8-8EA8-7BACFB4AA7FF}" name="Table2" displayName="Table2" ref="A3:G6" totalsRowShown="0">
  <autoFilter ref="A3:G6" xr:uid="{CA298706-970D-4BD8-8EA8-7BACFB4AA7FF}"/>
  <tableColumns count="7">
    <tableColumn id="1" xr3:uid="{0C8EE714-C813-4D18-80B2-16E94439BE90}" name="Emp ID"/>
    <tableColumn id="2" xr3:uid="{1AB7B4D1-DC89-4402-80A1-79C38B6BBB37}" name="Name"/>
    <tableColumn id="3" xr3:uid="{FC438952-B2A3-477B-B207-261D740C2890}" name="Department"/>
    <tableColumn id="4" xr3:uid="{1C2F3EC8-FA1B-4C5C-9ED1-88FED8AA577E}" name="City"/>
    <tableColumn id="5" xr3:uid="{A4EC894F-9AE2-46CA-AD9E-E3A496DD150E}" name="Month"/>
    <tableColumn id="6" xr3:uid="{D2DC8BF1-C13D-4256-9653-893CBBF4B5B3}" name="Salary"/>
    <tableColumn id="7" xr3:uid="{5BF61B41-19EB-49CB-9C4C-78017651E797}" name="Performan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9C2959-1BFF-447B-819E-0A45CDB8E958}" name="Table1" displayName="Table1" ref="A1:G16" totalsRowShown="0">
  <autoFilter ref="A1:G16" xr:uid="{AE9C2959-1BFF-447B-819E-0A45CDB8E958}"/>
  <tableColumns count="7">
    <tableColumn id="1" xr3:uid="{3A48A96E-82FB-4343-82CD-D9CD7BEA3D0F}" name="Emp ID"/>
    <tableColumn id="2" xr3:uid="{33C674BB-5969-4FB3-948D-DD53C043AD3F}" name="Name"/>
    <tableColumn id="3" xr3:uid="{00B9840B-E05C-441E-8CC5-36BEB91B2DF7}" name="Department"/>
    <tableColumn id="4" xr3:uid="{67BE67BA-A9C8-4063-A30F-3DA60E74964D}" name="City"/>
    <tableColumn id="5" xr3:uid="{C0F412D8-DF88-4B37-A853-3B7BE2445607}" name="Month"/>
    <tableColumn id="6" xr3:uid="{2580C60D-F375-4E54-B3DA-0EAA141EA183}" name="Salary"/>
    <tableColumn id="7" xr3:uid="{D214B761-BB36-41DC-ADAF-79B2764A9084}" name="Performa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DCB2-9963-40B5-ACFD-41174A5623F4}">
  <dimension ref="A1:G6"/>
  <sheetViews>
    <sheetView workbookViewId="0">
      <selection activeCell="A3" sqref="A3:G6"/>
    </sheetView>
  </sheetViews>
  <sheetFormatPr defaultRowHeight="14.4" x14ac:dyDescent="0.3"/>
  <cols>
    <col min="1" max="1" width="9.21875" bestFit="1" customWidth="1"/>
    <col min="2" max="2" width="9" bestFit="1" customWidth="1"/>
    <col min="3" max="3" width="13.33203125" bestFit="1" customWidth="1"/>
    <col min="4" max="6" width="9" bestFit="1" customWidth="1"/>
    <col min="7" max="7" width="14.109375" bestFit="1" customWidth="1"/>
  </cols>
  <sheetData>
    <row r="1" spans="1:7" x14ac:dyDescent="0.3">
      <c r="A1" s="5" t="s">
        <v>39</v>
      </c>
    </row>
    <row r="3" spans="1:7" x14ac:dyDescent="0.3">
      <c r="A3" t="s">
        <v>0</v>
      </c>
      <c r="B3" t="s">
        <v>1</v>
      </c>
      <c r="C3" t="s">
        <v>2</v>
      </c>
      <c r="D3" t="s">
        <v>3</v>
      </c>
      <c r="E3" t="s">
        <v>4</v>
      </c>
      <c r="F3" t="s">
        <v>5</v>
      </c>
      <c r="G3" t="s">
        <v>6</v>
      </c>
    </row>
    <row r="4" spans="1:7" x14ac:dyDescent="0.3">
      <c r="A4">
        <v>114</v>
      </c>
      <c r="B4" t="s">
        <v>32</v>
      </c>
      <c r="C4" t="s">
        <v>15</v>
      </c>
      <c r="D4" t="s">
        <v>22</v>
      </c>
      <c r="E4" t="s">
        <v>31</v>
      </c>
      <c r="F4">
        <v>46000</v>
      </c>
      <c r="G4">
        <v>5</v>
      </c>
    </row>
    <row r="5" spans="1:7" x14ac:dyDescent="0.3">
      <c r="A5">
        <v>109</v>
      </c>
      <c r="B5" t="s">
        <v>25</v>
      </c>
      <c r="C5" t="s">
        <v>12</v>
      </c>
      <c r="D5" t="s">
        <v>22</v>
      </c>
      <c r="E5" t="s">
        <v>23</v>
      </c>
      <c r="F5">
        <v>33000</v>
      </c>
      <c r="G5">
        <v>4</v>
      </c>
    </row>
    <row r="6" spans="1:7" x14ac:dyDescent="0.3">
      <c r="A6">
        <v>107</v>
      </c>
      <c r="B6" t="s">
        <v>21</v>
      </c>
      <c r="C6" t="s">
        <v>8</v>
      </c>
      <c r="D6" t="s">
        <v>22</v>
      </c>
      <c r="E6" t="s">
        <v>23</v>
      </c>
      <c r="F6">
        <v>36000</v>
      </c>
      <c r="G6">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BD91-B84F-4E00-A4D1-1C276C2A6308}">
  <dimension ref="A3:K33"/>
  <sheetViews>
    <sheetView workbookViewId="0">
      <selection activeCell="T6" sqref="T6"/>
    </sheetView>
  </sheetViews>
  <sheetFormatPr defaultRowHeight="14.4" x14ac:dyDescent="0.3"/>
  <cols>
    <col min="1" max="1" width="12.5546875" bestFit="1" customWidth="1"/>
    <col min="2" max="2" width="13.88671875" bestFit="1" customWidth="1"/>
    <col min="5" max="5" width="12.5546875" bestFit="1" customWidth="1"/>
    <col min="6" max="6" width="15.77734375" bestFit="1" customWidth="1"/>
    <col min="10" max="10" width="12.5546875" bestFit="1" customWidth="1"/>
    <col min="11" max="11" width="21.77734375" bestFit="1" customWidth="1"/>
  </cols>
  <sheetData>
    <row r="3" spans="1:11" x14ac:dyDescent="0.3">
      <c r="A3" s="1" t="s">
        <v>34</v>
      </c>
      <c r="B3" t="s">
        <v>36</v>
      </c>
    </row>
    <row r="4" spans="1:11" x14ac:dyDescent="0.3">
      <c r="A4" s="2" t="s">
        <v>12</v>
      </c>
      <c r="B4" s="3">
        <v>1</v>
      </c>
    </row>
    <row r="5" spans="1:11" x14ac:dyDescent="0.3">
      <c r="A5" s="2" t="s">
        <v>15</v>
      </c>
      <c r="B5" s="3">
        <v>1</v>
      </c>
      <c r="E5" s="1" t="s">
        <v>34</v>
      </c>
      <c r="F5" t="s">
        <v>37</v>
      </c>
    </row>
    <row r="6" spans="1:11" x14ac:dyDescent="0.3">
      <c r="A6" s="2" t="s">
        <v>8</v>
      </c>
      <c r="B6" s="3">
        <v>3</v>
      </c>
      <c r="E6" s="2" t="s">
        <v>12</v>
      </c>
      <c r="F6" s="3">
        <v>31000</v>
      </c>
    </row>
    <row r="7" spans="1:11" x14ac:dyDescent="0.3">
      <c r="A7" s="2" t="s">
        <v>35</v>
      </c>
      <c r="B7" s="3">
        <v>5</v>
      </c>
      <c r="E7" s="2" t="s">
        <v>15</v>
      </c>
      <c r="F7" s="3">
        <v>45000</v>
      </c>
      <c r="J7" s="1" t="s">
        <v>34</v>
      </c>
      <c r="K7" t="s">
        <v>36</v>
      </c>
    </row>
    <row r="8" spans="1:11" x14ac:dyDescent="0.3">
      <c r="E8" s="2" t="s">
        <v>8</v>
      </c>
      <c r="F8" s="3">
        <v>37000</v>
      </c>
      <c r="J8" s="2" t="s">
        <v>9</v>
      </c>
      <c r="K8" s="3">
        <v>5</v>
      </c>
    </row>
    <row r="9" spans="1:11" x14ac:dyDescent="0.3">
      <c r="B9">
        <f>15</f>
        <v>15</v>
      </c>
      <c r="E9" s="2" t="s">
        <v>35</v>
      </c>
      <c r="F9" s="3">
        <v>37400</v>
      </c>
      <c r="J9" s="2" t="s">
        <v>35</v>
      </c>
      <c r="K9" s="3">
        <v>5</v>
      </c>
    </row>
    <row r="13" spans="1:11" x14ac:dyDescent="0.3">
      <c r="F13" s="6">
        <f>GETPIVOTDATA("Salary",$E$5)</f>
        <v>37400</v>
      </c>
    </row>
    <row r="25" spans="10:11" x14ac:dyDescent="0.3">
      <c r="J25" s="1" t="s">
        <v>34</v>
      </c>
      <c r="K25" t="s">
        <v>38</v>
      </c>
    </row>
    <row r="26" spans="10:11" x14ac:dyDescent="0.3">
      <c r="J26" s="2" t="s">
        <v>10</v>
      </c>
      <c r="K26" s="3">
        <v>3.5</v>
      </c>
    </row>
    <row r="27" spans="10:11" x14ac:dyDescent="0.3">
      <c r="J27" s="2" t="s">
        <v>18</v>
      </c>
      <c r="K27" s="3">
        <v>3</v>
      </c>
    </row>
    <row r="28" spans="10:11" x14ac:dyDescent="0.3">
      <c r="J28" s="2" t="s">
        <v>27</v>
      </c>
      <c r="K28" s="3">
        <v>5</v>
      </c>
    </row>
    <row r="29" spans="10:11" x14ac:dyDescent="0.3">
      <c r="J29" s="2" t="s">
        <v>31</v>
      </c>
      <c r="K29" s="3">
        <v>4</v>
      </c>
    </row>
    <row r="30" spans="10:11" x14ac:dyDescent="0.3">
      <c r="J30" s="2" t="s">
        <v>35</v>
      </c>
      <c r="K30" s="3">
        <v>3.8</v>
      </c>
    </row>
    <row r="33" spans="11:11" x14ac:dyDescent="0.3">
      <c r="K33" s="7">
        <f>AVERAGE(K26:K30)</f>
        <v>3.8600000000000003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B733-E8AB-477E-B564-EBF344805AAB}">
  <dimension ref="A1:S28"/>
  <sheetViews>
    <sheetView tabSelected="1" zoomScale="90" zoomScaleNormal="90" workbookViewId="0">
      <selection activeCell="T6" sqref="T6"/>
    </sheetView>
  </sheetViews>
  <sheetFormatPr defaultRowHeight="14.4" x14ac:dyDescent="0.3"/>
  <sheetData>
    <row r="1" spans="1:19" x14ac:dyDescent="0.3">
      <c r="A1" s="4"/>
      <c r="B1" s="4"/>
      <c r="C1" s="4"/>
      <c r="D1" s="4"/>
      <c r="E1" s="4"/>
      <c r="F1" s="4"/>
      <c r="G1" s="4"/>
      <c r="H1" s="4"/>
      <c r="I1" s="4"/>
      <c r="J1" s="4"/>
      <c r="K1" s="4"/>
      <c r="L1" s="4"/>
      <c r="M1" s="4"/>
      <c r="N1" s="4"/>
      <c r="O1" s="4"/>
      <c r="P1" s="4"/>
      <c r="Q1" s="4"/>
      <c r="R1" s="4"/>
      <c r="S1" s="4"/>
    </row>
    <row r="2" spans="1:19" x14ac:dyDescent="0.3">
      <c r="A2" s="4"/>
      <c r="B2" s="4"/>
      <c r="C2" s="4"/>
      <c r="D2" s="4"/>
      <c r="E2" s="4"/>
      <c r="F2" s="4"/>
      <c r="G2" s="4"/>
      <c r="H2" s="4"/>
      <c r="I2" s="4"/>
      <c r="J2" s="4"/>
      <c r="K2" s="4"/>
      <c r="L2" s="4"/>
      <c r="M2" s="4"/>
      <c r="N2" s="4"/>
      <c r="O2" s="4"/>
      <c r="P2" s="4"/>
      <c r="Q2" s="4"/>
      <c r="R2" s="4"/>
      <c r="S2" s="4"/>
    </row>
    <row r="3" spans="1:19" x14ac:dyDescent="0.3">
      <c r="A3" s="4"/>
      <c r="B3" s="4"/>
      <c r="C3" s="4"/>
      <c r="D3" s="4"/>
      <c r="E3" s="4"/>
      <c r="F3" s="4"/>
      <c r="G3" s="4"/>
      <c r="H3" s="4"/>
      <c r="I3" s="4"/>
      <c r="J3" s="4"/>
      <c r="K3" s="4"/>
      <c r="L3" s="4"/>
      <c r="M3" s="4"/>
      <c r="N3" s="4"/>
      <c r="O3" s="4"/>
      <c r="P3" s="4"/>
      <c r="Q3" s="4"/>
      <c r="R3" s="4"/>
      <c r="S3" s="4"/>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4"/>
      <c r="O11" s="4"/>
      <c r="P11" s="4"/>
      <c r="Q11" s="4"/>
      <c r="R11" s="4"/>
      <c r="S11" s="4"/>
    </row>
    <row r="12" spans="1:19" x14ac:dyDescent="0.3">
      <c r="A12" s="4"/>
      <c r="B12" s="4"/>
      <c r="C12" s="4"/>
      <c r="D12" s="4"/>
      <c r="E12" s="4"/>
      <c r="F12" s="4"/>
      <c r="G12" s="4"/>
      <c r="H12" s="4"/>
      <c r="I12" s="4"/>
      <c r="J12" s="4"/>
      <c r="K12" s="4"/>
      <c r="L12" s="4"/>
      <c r="M12" s="4"/>
      <c r="N12" s="4"/>
      <c r="O12" s="4"/>
      <c r="P12" s="4"/>
      <c r="Q12" s="4"/>
      <c r="R12" s="4"/>
      <c r="S12" s="4"/>
    </row>
    <row r="13" spans="1:19" x14ac:dyDescent="0.3">
      <c r="A13" s="4"/>
      <c r="B13" s="4"/>
      <c r="C13" s="4"/>
      <c r="D13" s="4"/>
      <c r="E13" s="4"/>
      <c r="F13" s="4"/>
      <c r="G13" s="4"/>
      <c r="H13" s="4"/>
      <c r="I13" s="4"/>
      <c r="J13" s="4"/>
      <c r="K13" s="4"/>
      <c r="L13" s="4"/>
      <c r="M13" s="4"/>
      <c r="N13" s="4"/>
      <c r="O13" s="4"/>
      <c r="P13" s="4"/>
      <c r="Q13" s="4"/>
      <c r="R13" s="4"/>
      <c r="S13" s="4"/>
    </row>
    <row r="14" spans="1:19" x14ac:dyDescent="0.3">
      <c r="A14" s="4"/>
      <c r="B14" s="4"/>
      <c r="C14" s="4"/>
      <c r="D14" s="4"/>
      <c r="E14" s="4"/>
      <c r="F14" s="4"/>
      <c r="G14" s="4"/>
      <c r="H14" s="4"/>
      <c r="I14" s="4"/>
      <c r="J14" s="4"/>
      <c r="K14" s="4"/>
      <c r="L14" s="4"/>
      <c r="M14" s="4"/>
      <c r="N14" s="4"/>
      <c r="O14" s="4"/>
      <c r="P14" s="4"/>
      <c r="Q14" s="4"/>
      <c r="R14" s="4"/>
      <c r="S14" s="4"/>
    </row>
    <row r="15" spans="1:19" x14ac:dyDescent="0.3">
      <c r="A15" s="4"/>
      <c r="B15" s="4"/>
      <c r="C15" s="4"/>
      <c r="D15" s="4"/>
      <c r="E15" s="4"/>
      <c r="F15" s="4"/>
      <c r="G15" s="4"/>
      <c r="H15" s="4"/>
      <c r="I15" s="4"/>
      <c r="J15" s="4"/>
      <c r="K15" s="4"/>
      <c r="L15" s="4"/>
      <c r="M15" s="4"/>
      <c r="N15" s="4"/>
      <c r="O15" s="4"/>
      <c r="P15" s="4"/>
      <c r="Q15" s="4"/>
      <c r="R15" s="4"/>
      <c r="S15" s="4"/>
    </row>
    <row r="16" spans="1:19" x14ac:dyDescent="0.3">
      <c r="A16" s="4"/>
      <c r="B16" s="4"/>
      <c r="C16" s="4"/>
      <c r="D16" s="4"/>
      <c r="E16" s="4"/>
      <c r="F16" s="4"/>
      <c r="G16" s="4"/>
      <c r="H16" s="4"/>
      <c r="I16" s="4"/>
      <c r="J16" s="4"/>
      <c r="K16" s="4"/>
      <c r="L16" s="4"/>
      <c r="M16" s="4"/>
      <c r="N16" s="4"/>
      <c r="O16" s="4"/>
      <c r="P16" s="4"/>
      <c r="Q16" s="4"/>
      <c r="R16" s="4"/>
      <c r="S16" s="4"/>
    </row>
    <row r="17" spans="1:19" x14ac:dyDescent="0.3">
      <c r="A17" s="4"/>
      <c r="B17" s="4"/>
      <c r="C17" s="4"/>
      <c r="D17" s="4"/>
      <c r="E17" s="4"/>
      <c r="F17" s="4"/>
      <c r="G17" s="4"/>
      <c r="H17" s="4"/>
      <c r="I17" s="4"/>
      <c r="J17" s="4"/>
      <c r="K17" s="4"/>
      <c r="L17" s="4"/>
      <c r="M17" s="4"/>
      <c r="N17" s="4"/>
      <c r="O17" s="4"/>
      <c r="P17" s="4"/>
      <c r="Q17" s="4"/>
      <c r="R17" s="4"/>
      <c r="S17" s="4"/>
    </row>
    <row r="18" spans="1:19" x14ac:dyDescent="0.3">
      <c r="A18" s="4"/>
      <c r="B18" s="4"/>
      <c r="C18" s="4"/>
      <c r="D18" s="4"/>
      <c r="E18" s="4"/>
      <c r="F18" s="4"/>
      <c r="G18" s="4"/>
      <c r="H18" s="4"/>
      <c r="I18" s="4"/>
      <c r="J18" s="4"/>
      <c r="K18" s="4"/>
      <c r="L18" s="4"/>
      <c r="M18" s="4"/>
      <c r="N18" s="4"/>
      <c r="O18" s="4"/>
      <c r="P18" s="4"/>
      <c r="Q18" s="4"/>
      <c r="R18" s="4"/>
      <c r="S18" s="4"/>
    </row>
    <row r="19" spans="1:19" x14ac:dyDescent="0.3">
      <c r="A19" s="4"/>
      <c r="B19" s="4"/>
      <c r="C19" s="4"/>
      <c r="D19" s="4"/>
      <c r="E19" s="4"/>
      <c r="F19" s="4"/>
      <c r="G19" s="4"/>
      <c r="H19" s="4"/>
      <c r="I19" s="4"/>
      <c r="J19" s="4"/>
      <c r="K19" s="4"/>
      <c r="L19" s="4"/>
      <c r="M19" s="4"/>
      <c r="N19" s="4"/>
      <c r="O19" s="4"/>
      <c r="P19" s="4"/>
      <c r="Q19" s="4"/>
      <c r="R19" s="4"/>
      <c r="S19" s="4"/>
    </row>
    <row r="20" spans="1:19" x14ac:dyDescent="0.3">
      <c r="A20" s="4"/>
      <c r="B20" s="4"/>
      <c r="C20" s="4"/>
      <c r="D20" s="4"/>
      <c r="E20" s="4"/>
      <c r="F20" s="4"/>
      <c r="G20" s="4"/>
      <c r="H20" s="4"/>
      <c r="I20" s="4"/>
      <c r="J20" s="4"/>
      <c r="K20" s="4"/>
      <c r="L20" s="4"/>
      <c r="M20" s="4"/>
      <c r="N20" s="4"/>
      <c r="O20" s="4"/>
      <c r="P20" s="4"/>
      <c r="Q20" s="4"/>
      <c r="R20" s="4"/>
      <c r="S20" s="4"/>
    </row>
    <row r="21" spans="1:19" x14ac:dyDescent="0.3">
      <c r="A21" s="4"/>
      <c r="B21" s="4"/>
      <c r="C21" s="4"/>
      <c r="D21" s="4"/>
      <c r="E21" s="4"/>
      <c r="F21" s="4"/>
      <c r="G21" s="4"/>
      <c r="H21" s="4"/>
      <c r="I21" s="4"/>
      <c r="J21" s="4"/>
      <c r="K21" s="4"/>
      <c r="L21" s="4"/>
      <c r="M21" s="4"/>
      <c r="N21" s="4"/>
      <c r="O21" s="4"/>
      <c r="P21" s="4"/>
      <c r="Q21" s="4"/>
      <c r="R21" s="4"/>
      <c r="S21" s="4"/>
    </row>
    <row r="22" spans="1:19" x14ac:dyDescent="0.3">
      <c r="A22" s="4"/>
      <c r="B22" s="4"/>
      <c r="C22" s="4"/>
      <c r="D22" s="4"/>
      <c r="E22" s="4"/>
      <c r="F22" s="4"/>
      <c r="G22" s="4"/>
      <c r="H22" s="4"/>
      <c r="I22" s="4"/>
      <c r="J22" s="4"/>
      <c r="K22" s="4"/>
      <c r="L22" s="4"/>
      <c r="M22" s="4"/>
      <c r="N22" s="4"/>
      <c r="O22" s="4"/>
      <c r="P22" s="4"/>
      <c r="Q22" s="4"/>
      <c r="R22" s="4"/>
      <c r="S22" s="4"/>
    </row>
    <row r="23" spans="1:19" x14ac:dyDescent="0.3">
      <c r="A23" s="4"/>
      <c r="B23" s="4"/>
      <c r="C23" s="4"/>
      <c r="D23" s="4"/>
      <c r="E23" s="4"/>
      <c r="F23" s="4"/>
      <c r="G23" s="4"/>
      <c r="H23" s="4"/>
      <c r="I23" s="4"/>
      <c r="J23" s="4"/>
      <c r="K23" s="4"/>
      <c r="L23" s="4"/>
      <c r="M23" s="4"/>
      <c r="N23" s="4"/>
      <c r="O23" s="4"/>
      <c r="P23" s="4"/>
      <c r="Q23" s="4"/>
      <c r="R23" s="4"/>
      <c r="S23" s="4"/>
    </row>
    <row r="24" spans="1:19" x14ac:dyDescent="0.3">
      <c r="A24" s="4"/>
      <c r="B24" s="4"/>
      <c r="C24" s="4"/>
      <c r="D24" s="4"/>
      <c r="E24" s="4"/>
      <c r="F24" s="4"/>
      <c r="G24" s="4"/>
      <c r="H24" s="4"/>
      <c r="I24" s="4"/>
      <c r="J24" s="4"/>
      <c r="K24" s="4"/>
      <c r="L24" s="4"/>
      <c r="M24" s="4"/>
      <c r="N24" s="4"/>
      <c r="O24" s="4"/>
      <c r="P24" s="4"/>
      <c r="Q24" s="4"/>
      <c r="R24" s="4"/>
      <c r="S24" s="4"/>
    </row>
    <row r="25" spans="1:19" x14ac:dyDescent="0.3">
      <c r="A25" s="4"/>
      <c r="B25" s="4"/>
      <c r="C25" s="4"/>
      <c r="D25" s="4"/>
      <c r="E25" s="4"/>
      <c r="F25" s="4"/>
      <c r="G25" s="4"/>
      <c r="H25" s="4"/>
      <c r="I25" s="4"/>
      <c r="J25" s="4"/>
      <c r="K25" s="4"/>
      <c r="L25" s="4"/>
      <c r="M25" s="4"/>
      <c r="N25" s="4"/>
      <c r="O25" s="4"/>
      <c r="P25" s="4"/>
      <c r="Q25" s="4"/>
      <c r="R25" s="4"/>
      <c r="S25" s="4"/>
    </row>
    <row r="26" spans="1:19" x14ac:dyDescent="0.3">
      <c r="A26" s="4"/>
      <c r="B26" s="4"/>
      <c r="C26" s="4"/>
      <c r="D26" s="4"/>
      <c r="E26" s="4"/>
      <c r="F26" s="4"/>
      <c r="G26" s="4"/>
      <c r="H26" s="4"/>
      <c r="I26" s="4"/>
      <c r="J26" s="4"/>
      <c r="K26" s="4"/>
      <c r="L26" s="4"/>
      <c r="M26" s="4"/>
      <c r="N26" s="4"/>
      <c r="O26" s="4"/>
      <c r="P26" s="4"/>
      <c r="Q26" s="4"/>
      <c r="R26" s="4"/>
      <c r="S26" s="4"/>
    </row>
    <row r="27" spans="1:19" x14ac:dyDescent="0.3">
      <c r="A27" s="4"/>
      <c r="B27" s="4"/>
      <c r="C27" s="4"/>
      <c r="D27" s="4"/>
      <c r="E27" s="4"/>
      <c r="F27" s="4"/>
      <c r="G27" s="4"/>
      <c r="H27" s="4"/>
      <c r="I27" s="4"/>
      <c r="J27" s="4"/>
      <c r="K27" s="4"/>
      <c r="L27" s="4"/>
      <c r="M27" s="4"/>
      <c r="N27" s="4"/>
      <c r="O27" s="4"/>
      <c r="P27" s="4"/>
      <c r="Q27" s="4"/>
      <c r="R27" s="4"/>
      <c r="S27" s="4"/>
    </row>
    <row r="28" spans="1:19" x14ac:dyDescent="0.3">
      <c r="A28" s="4"/>
      <c r="B28" s="4"/>
      <c r="C28" s="4"/>
      <c r="D28" s="4"/>
      <c r="E28" s="4"/>
      <c r="F28" s="4"/>
      <c r="G28" s="4"/>
      <c r="H28" s="4"/>
      <c r="I28" s="4"/>
      <c r="J28" s="4"/>
      <c r="K28" s="4"/>
      <c r="L28" s="4"/>
      <c r="M28" s="4"/>
      <c r="N28" s="4"/>
      <c r="O28" s="4"/>
      <c r="P28" s="4"/>
      <c r="Q28" s="4"/>
      <c r="R28" s="4"/>
      <c r="S2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A2" sqref="A2:G16"/>
    </sheetView>
  </sheetViews>
  <sheetFormatPr defaultRowHeight="14.4" x14ac:dyDescent="0.3"/>
  <cols>
    <col min="3" max="3" width="13" customWidth="1"/>
    <col min="7" max="7" width="13.77734375" customWidth="1"/>
  </cols>
  <sheetData>
    <row r="1" spans="1:7" x14ac:dyDescent="0.3">
      <c r="A1" t="s">
        <v>0</v>
      </c>
      <c r="B1" t="s">
        <v>1</v>
      </c>
      <c r="C1" t="s">
        <v>2</v>
      </c>
      <c r="D1" t="s">
        <v>3</v>
      </c>
      <c r="E1" t="s">
        <v>4</v>
      </c>
      <c r="F1" t="s">
        <v>5</v>
      </c>
      <c r="G1" t="s">
        <v>6</v>
      </c>
    </row>
    <row r="2" spans="1:7" x14ac:dyDescent="0.3">
      <c r="A2">
        <v>101</v>
      </c>
      <c r="B2" t="s">
        <v>7</v>
      </c>
      <c r="C2" t="s">
        <v>8</v>
      </c>
      <c r="D2" t="s">
        <v>9</v>
      </c>
      <c r="E2" t="s">
        <v>10</v>
      </c>
      <c r="F2">
        <v>35000</v>
      </c>
      <c r="G2">
        <v>4</v>
      </c>
    </row>
    <row r="3" spans="1:7" x14ac:dyDescent="0.3">
      <c r="A3">
        <v>102</v>
      </c>
      <c r="B3" t="s">
        <v>11</v>
      </c>
      <c r="C3" t="s">
        <v>12</v>
      </c>
      <c r="D3" t="s">
        <v>13</v>
      </c>
      <c r="E3" t="s">
        <v>10</v>
      </c>
      <c r="F3">
        <v>32000</v>
      </c>
      <c r="G3">
        <v>5</v>
      </c>
    </row>
    <row r="4" spans="1:7" x14ac:dyDescent="0.3">
      <c r="A4">
        <v>103</v>
      </c>
      <c r="B4" t="s">
        <v>14</v>
      </c>
      <c r="C4" t="s">
        <v>15</v>
      </c>
      <c r="D4" t="s">
        <v>9</v>
      </c>
      <c r="E4" t="s">
        <v>10</v>
      </c>
      <c r="F4">
        <v>45000</v>
      </c>
      <c r="G4">
        <v>3</v>
      </c>
    </row>
    <row r="5" spans="1:7" x14ac:dyDescent="0.3">
      <c r="A5">
        <v>104</v>
      </c>
      <c r="B5" t="s">
        <v>16</v>
      </c>
      <c r="C5" t="s">
        <v>8</v>
      </c>
      <c r="D5" t="s">
        <v>17</v>
      </c>
      <c r="E5" t="s">
        <v>18</v>
      </c>
      <c r="F5">
        <v>38000</v>
      </c>
      <c r="G5">
        <v>4</v>
      </c>
    </row>
    <row r="6" spans="1:7" x14ac:dyDescent="0.3">
      <c r="A6">
        <v>105</v>
      </c>
      <c r="B6" t="s">
        <v>19</v>
      </c>
      <c r="C6" t="s">
        <v>15</v>
      </c>
      <c r="D6" t="s">
        <v>13</v>
      </c>
      <c r="E6" t="s">
        <v>18</v>
      </c>
      <c r="F6">
        <v>42000</v>
      </c>
      <c r="G6">
        <v>5</v>
      </c>
    </row>
    <row r="7" spans="1:7" x14ac:dyDescent="0.3">
      <c r="A7">
        <v>106</v>
      </c>
      <c r="B7" t="s">
        <v>20</v>
      </c>
      <c r="C7" t="s">
        <v>12</v>
      </c>
      <c r="D7" t="s">
        <v>9</v>
      </c>
      <c r="E7" t="s">
        <v>18</v>
      </c>
      <c r="F7">
        <v>31000</v>
      </c>
      <c r="G7">
        <v>3</v>
      </c>
    </row>
    <row r="8" spans="1:7" x14ac:dyDescent="0.3">
      <c r="A8">
        <v>107</v>
      </c>
      <c r="B8" t="s">
        <v>21</v>
      </c>
      <c r="C8" t="s">
        <v>8</v>
      </c>
      <c r="D8" t="s">
        <v>22</v>
      </c>
      <c r="E8" t="s">
        <v>23</v>
      </c>
      <c r="F8">
        <v>36000</v>
      </c>
      <c r="G8">
        <v>4</v>
      </c>
    </row>
    <row r="9" spans="1:7" x14ac:dyDescent="0.3">
      <c r="A9">
        <v>108</v>
      </c>
      <c r="B9" t="s">
        <v>24</v>
      </c>
      <c r="C9" t="s">
        <v>15</v>
      </c>
      <c r="D9" t="s">
        <v>17</v>
      </c>
      <c r="E9" t="s">
        <v>23</v>
      </c>
      <c r="F9">
        <v>47000</v>
      </c>
      <c r="G9">
        <v>5</v>
      </c>
    </row>
    <row r="10" spans="1:7" x14ac:dyDescent="0.3">
      <c r="A10">
        <v>109</v>
      </c>
      <c r="B10" t="s">
        <v>25</v>
      </c>
      <c r="C10" t="s">
        <v>12</v>
      </c>
      <c r="D10" t="s">
        <v>22</v>
      </c>
      <c r="E10" t="s">
        <v>23</v>
      </c>
      <c r="F10">
        <v>33000</v>
      </c>
      <c r="G10">
        <v>4</v>
      </c>
    </row>
    <row r="11" spans="1:7" x14ac:dyDescent="0.3">
      <c r="A11">
        <v>110</v>
      </c>
      <c r="B11" t="s">
        <v>26</v>
      </c>
      <c r="C11" t="s">
        <v>8</v>
      </c>
      <c r="D11" t="s">
        <v>9</v>
      </c>
      <c r="E11" t="s">
        <v>27</v>
      </c>
      <c r="F11">
        <v>39000</v>
      </c>
      <c r="G11">
        <v>5</v>
      </c>
    </row>
    <row r="12" spans="1:7" x14ac:dyDescent="0.3">
      <c r="A12">
        <v>111</v>
      </c>
      <c r="B12" t="s">
        <v>28</v>
      </c>
      <c r="C12" t="s">
        <v>15</v>
      </c>
      <c r="D12" t="s">
        <v>13</v>
      </c>
      <c r="E12" t="s">
        <v>27</v>
      </c>
      <c r="F12">
        <v>44000</v>
      </c>
      <c r="G12">
        <v>4</v>
      </c>
    </row>
    <row r="13" spans="1:7" x14ac:dyDescent="0.3">
      <c r="A13">
        <v>112</v>
      </c>
      <c r="B13" t="s">
        <v>29</v>
      </c>
      <c r="C13" t="s">
        <v>12</v>
      </c>
      <c r="D13" t="s">
        <v>17</v>
      </c>
      <c r="E13" t="s">
        <v>27</v>
      </c>
      <c r="F13">
        <v>30000</v>
      </c>
      <c r="G13">
        <v>3</v>
      </c>
    </row>
    <row r="14" spans="1:7" x14ac:dyDescent="0.3">
      <c r="A14">
        <v>113</v>
      </c>
      <c r="B14" t="s">
        <v>30</v>
      </c>
      <c r="C14" t="s">
        <v>8</v>
      </c>
      <c r="D14" t="s">
        <v>9</v>
      </c>
      <c r="E14" t="s">
        <v>31</v>
      </c>
      <c r="F14">
        <v>37000</v>
      </c>
      <c r="G14">
        <v>4</v>
      </c>
    </row>
    <row r="15" spans="1:7" x14ac:dyDescent="0.3">
      <c r="A15">
        <v>114</v>
      </c>
      <c r="B15" t="s">
        <v>32</v>
      </c>
      <c r="C15" t="s">
        <v>15</v>
      </c>
      <c r="D15" t="s">
        <v>22</v>
      </c>
      <c r="E15" t="s">
        <v>31</v>
      </c>
      <c r="F15">
        <v>46000</v>
      </c>
      <c r="G15">
        <v>5</v>
      </c>
    </row>
    <row r="16" spans="1:7" x14ac:dyDescent="0.3">
      <c r="A16">
        <v>115</v>
      </c>
      <c r="B16" t="s">
        <v>33</v>
      </c>
      <c r="C16" t="s">
        <v>12</v>
      </c>
      <c r="D16" t="s">
        <v>13</v>
      </c>
      <c r="E16" t="s">
        <v>31</v>
      </c>
      <c r="F16">
        <v>34000</v>
      </c>
      <c r="G16">
        <v>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Sheet2</vt:lpstr>
      <vt:lpstr>EmployeeData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G</cp:lastModifiedBy>
  <dcterms:created xsi:type="dcterms:W3CDTF">2026-07-31T12:31:29Z</dcterms:created>
  <dcterms:modified xsi:type="dcterms:W3CDTF">2026-07-31T16:21:57Z</dcterms:modified>
</cp:coreProperties>
</file>